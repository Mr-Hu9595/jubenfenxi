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460" tabRatio="600" firstSheet="0" activeTab="5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评估标准细则" sheetId="2" state="visible" r:id="rId2"/>
    <sheet xmlns:r="http://schemas.openxmlformats.org/officeDocument/2006/relationships" name="字段映射与快捷" sheetId="3" state="visible" r:id="rId3"/>
    <sheet xmlns:r="http://schemas.openxmlformats.org/officeDocument/2006/relationships" name="评估输入" sheetId="4" state="visible" r:id="rId4"/>
    <sheet xmlns:r="http://schemas.openxmlformats.org/officeDocument/2006/relationships" name="11.4 评估输入" sheetId="5" state="visible" r:id="rId5"/>
    <sheet xmlns:r="http://schemas.openxmlformats.org/officeDocument/2006/relationships" name="11.3 评估输入" sheetId="6" state="visible" r:id="rId6"/>
    <sheet xmlns:r="http://schemas.openxmlformats.org/officeDocument/2006/relationships" name="通用导入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Microsoft YaHei"/>
      <charset val="134"/>
      <sz val="10"/>
    </font>
    <font>
      <name val="Microsoft YaHei"/>
      <charset val="134"/>
      <b val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pivot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zoomScale="84" zoomScaleNormal="84" workbookViewId="0">
      <selection activeCell="B3" sqref="B3"/>
    </sheetView>
  </sheetViews>
  <sheetFormatPr baseColWidth="8" defaultColWidth="14" defaultRowHeight="18" customHeight="1" outlineLevelRow="1"/>
  <cols>
    <col width="5.1171875" customWidth="1" style="1" min="1" max="1"/>
  </cols>
  <sheetData>
    <row r="1" s="1">
      <c r="A1" s="2" t="inlineStr">
        <is>
          <t>序号</t>
        </is>
      </c>
      <c r="B1" s="3" t="inlineStr">
        <is>
          <t>剧本名</t>
        </is>
      </c>
      <c r="C1" s="3" t="inlineStr">
        <is>
          <t>内容</t>
        </is>
      </c>
      <c r="H1" s="3" t="inlineStr">
        <is>
          <t>制作</t>
        </is>
      </c>
      <c r="K1" s="3" t="inlineStr">
        <is>
          <t>宣发</t>
        </is>
      </c>
    </row>
    <row r="2" s="1">
      <c r="C2" s="0" t="inlineStr">
        <is>
          <t>文量/集数</t>
        </is>
      </c>
      <c r="D2" s="0" t="inlineStr">
        <is>
          <t>频向</t>
        </is>
      </c>
      <c r="E2" s="0" t="inlineStr">
        <is>
          <t>时代背景</t>
        </is>
      </c>
      <c r="F2" s="0" t="inlineStr">
        <is>
          <t>主题</t>
        </is>
      </c>
      <c r="G2" s="0" t="inlineStr">
        <is>
          <t>人物饱满度</t>
        </is>
      </c>
      <c r="H2" s="0" t="inlineStr">
        <is>
          <t>导演</t>
        </is>
      </c>
      <c r="I2" s="0" t="inlineStr">
        <is>
          <t>场景数量</t>
        </is>
      </c>
      <c r="J2" s="0" t="inlineStr">
        <is>
          <t>演员数量</t>
        </is>
      </c>
      <c r="K2" s="0" t="inlineStr">
        <is>
          <t>受众定位</t>
        </is>
      </c>
      <c r="L2" s="0" t="inlineStr">
        <is>
          <t>上线时间</t>
        </is>
      </c>
      <c r="M2" s="0" t="inlineStr">
        <is>
          <t>营销方向</t>
        </is>
      </c>
    </row>
  </sheetData>
  <mergeCells count="5">
    <mergeCell ref="H1:J1"/>
    <mergeCell ref="C1:G1"/>
    <mergeCell ref="B1:B2"/>
    <mergeCell ref="K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ColWidth="9" defaultRowHeight="15.2"/>
  <sheetData>
    <row r="1">
      <c r="A1" s="0" t="inlineStr">
        <is>
          <t>大类</t>
        </is>
      </c>
      <c r="B1" s="0" t="inlineStr">
        <is>
          <t>中类</t>
        </is>
      </c>
      <c r="C1" s="0" t="inlineStr">
        <is>
          <t>小类</t>
        </is>
      </c>
      <c r="D1" s="0" t="inlineStr">
        <is>
          <t>分值</t>
        </is>
      </c>
      <c r="E1" s="0" t="inlineStr">
        <is>
          <t>评分规则</t>
        </is>
      </c>
      <c r="F1" s="0" t="inlineStr">
        <is>
          <t>数据口径</t>
        </is>
      </c>
    </row>
    <row r="2">
      <c r="A2" s="0" t="inlineStr">
        <is>
          <t>内容</t>
        </is>
      </c>
      <c r="B2" s="0" t="inlineStr">
        <is>
          <t>剧情结构</t>
        </is>
      </c>
      <c r="C2" s="0" t="inlineStr">
        <is>
          <t>起承转合完整度</t>
        </is>
      </c>
      <c r="D2" s="0" t="inlineStr">
        <is>
          <t>6</t>
        </is>
      </c>
      <c r="E2" s="0" t="inlineStr">
        <is>
          <t>出现“引子/冲突爆发/反转/高潮/结局”等标志词≥5项→≥5分；4项→4分；≤3项→≤3分</t>
        </is>
      </c>
      <c r="F2" s="0" t="inlineStr"/>
    </row>
    <row r="3">
      <c r="A3" s="0" t="inlineStr">
        <is>
          <t>内容</t>
        </is>
      </c>
      <c r="B3" s="0" t="inlineStr">
        <is>
          <t>剧情结构</t>
        </is>
      </c>
      <c r="C3" s="0" t="inlineStr">
        <is>
          <t>转折密度</t>
        </is>
      </c>
      <c r="D3" s="0" t="inlineStr">
        <is>
          <t>4</t>
        </is>
      </c>
      <c r="E3" s="0" t="inlineStr">
        <is>
          <t>每 4k–6k 字至少 1 次关键反转；&lt;1/8k 字降至≤2分；&gt;1/3k 字如逻辑自洽可达4分，否则扣并发散分</t>
        </is>
      </c>
      <c r="F3" s="0" t="inlineStr">
        <is>
          <t>识别“反转/但/然而/却/其实/看似/结果/谁知”等转折触发词，计算每千字频次并人工验证关键反转。</t>
        </is>
      </c>
    </row>
    <row r="4">
      <c r="A4" s="0" t="inlineStr">
        <is>
          <t>内容</t>
        </is>
      </c>
      <c r="B4" s="0" t="inlineStr">
        <is>
          <t>剧情结构</t>
        </is>
      </c>
      <c r="C4" s="0" t="inlineStr">
        <is>
          <t>悬念闭合率</t>
        </is>
      </c>
      <c r="D4" s="0" t="inlineStr">
        <is>
          <t>3</t>
        </is>
      </c>
      <c r="E4" s="0" t="inlineStr">
        <is>
          <t>铺垫点回收比例≥0.8→3分；0.6–0.79→2分；&lt;0.6→≤1分</t>
        </is>
      </c>
      <c r="F4" s="0" t="inlineStr">
        <is>
          <t>统计“伏笔/谜团/悬念/未解释线索”与“解释/揭示/回收”，闭合率=回收数/铺垫数。</t>
        </is>
      </c>
    </row>
    <row r="5">
      <c r="A5" s="0" t="inlineStr">
        <is>
          <t>内容</t>
        </is>
      </c>
      <c r="B5" s="0" t="inlineStr">
        <is>
          <t>剧情结构</t>
        </is>
      </c>
      <c r="C5" s="0" t="inlineStr">
        <is>
          <t>节奏均衡度</t>
        </is>
      </c>
      <c r="D5" s="0" t="inlineStr">
        <is>
          <t>2</t>
        </is>
      </c>
      <c r="E5" s="0" t="inlineStr">
        <is>
          <t>场景长度方差适中、段落节拍稳定→2分；过度均一或波动过大→1分</t>
        </is>
      </c>
      <c r="F5" s="0" t="inlineStr"/>
    </row>
    <row r="6">
      <c r="A6" s="0" t="inlineStr">
        <is>
          <t>内容</t>
        </is>
      </c>
      <c r="B6" s="0" t="inlineStr">
        <is>
          <t>角色塑造</t>
        </is>
      </c>
      <c r="C6" s="0" t="inlineStr">
        <is>
          <t>目标-动机-障碍</t>
        </is>
      </c>
      <c r="D6" s="0" t="inlineStr">
        <is>
          <t>5</t>
        </is>
      </c>
      <c r="E6" s="0" t="inlineStr">
        <is>
          <t>主角与关键反派均完整→5；仅主角完整→3–4；缺失→≤2</t>
        </is>
      </c>
      <c r="F6" s="0" t="inlineStr"/>
    </row>
    <row r="7">
      <c r="A7" s="0" t="inlineStr">
        <is>
          <t>内容</t>
        </is>
      </c>
      <c r="B7" s="0" t="inlineStr">
        <is>
          <t>角色塑造</t>
        </is>
      </c>
      <c r="C7" s="0" t="inlineStr">
        <is>
          <t>弧光与反差</t>
        </is>
      </c>
      <c r="D7" s="0" t="inlineStr">
        <is>
          <t>6</t>
        </is>
      </c>
      <c r="E7" s="0" t="inlineStr">
        <is>
          <t>“反转/黑化/洗白/救赎/成长/挣扎/人性”与连接词共现频高、阶段性变化明确→4–6；弱→≤3</t>
        </is>
      </c>
      <c r="F7" s="0" t="inlineStr"/>
    </row>
    <row r="8">
      <c r="A8" s="0" t="inlineStr">
        <is>
          <t>内容</t>
        </is>
      </c>
      <c r="B8" s="0" t="inlineStr">
        <is>
          <t>角色塑造</t>
        </is>
      </c>
      <c r="C8" s="0" t="inlineStr">
        <is>
          <t>关系网复杂度</t>
        </is>
      </c>
      <c r="D8" s="0" t="inlineStr">
        <is>
          <t>3</t>
        </is>
      </c>
      <c r="E8" s="0" t="inlineStr">
        <is>
          <t>关键关系≥4条、存在关系变化≥2次→3；一般→2；简单→≤1</t>
        </is>
      </c>
      <c r="F8" s="0" t="inlineStr">
        <is>
          <t>提取称谓/亲属/师徒/上下级/同事等关系边，计算关键节点与关系变化次数。</t>
        </is>
      </c>
    </row>
    <row r="9">
      <c r="A9" s="0" t="inlineStr">
        <is>
          <t>内容</t>
        </is>
      </c>
      <c r="B9" s="0" t="inlineStr">
        <is>
          <t>角色塑造</t>
        </is>
      </c>
      <c r="C9" s="0" t="inlineStr">
        <is>
          <t>记忆点</t>
        </is>
      </c>
      <c r="D9" s="0" t="inlineStr">
        <is>
          <t>1</t>
        </is>
      </c>
      <c r="E9" s="0" t="inlineStr">
        <is>
          <t>昵称/口头禅/行为记忆点≥2→1；否则0</t>
        </is>
      </c>
      <c r="F9" s="0" t="inlineStr"/>
    </row>
    <row r="10">
      <c r="A10" s="0" t="inlineStr">
        <is>
          <t>内容</t>
        </is>
      </c>
      <c r="B10" s="0" t="inlineStr">
        <is>
          <t>冲突设置</t>
        </is>
      </c>
      <c r="C10" s="0" t="inlineStr">
        <is>
          <t>类型覆盖</t>
        </is>
      </c>
      <c r="D10" s="0" t="inlineStr">
        <is>
          <t>3</t>
        </is>
      </c>
      <c r="E10" s="0" t="inlineStr">
        <is>
          <t>至少覆盖两类（人-人/人-环境/人-自我）→3；单一→≤1</t>
        </is>
      </c>
      <c r="F10" s="0" t="inlineStr"/>
    </row>
    <row r="11">
      <c r="A11" s="0" t="inlineStr">
        <is>
          <t>内容</t>
        </is>
      </c>
      <c r="B11" s="0" t="inlineStr">
        <is>
          <t>冲突设置</t>
        </is>
      </c>
      <c r="C11" s="0" t="inlineStr">
        <is>
          <t>升级曲线</t>
        </is>
      </c>
      <c r="D11" s="0" t="inlineStr">
        <is>
          <t>3</t>
        </is>
      </c>
      <c r="E11" s="0" t="inlineStr">
        <is>
          <t>强度递增≥3阶→3；2阶→2；无升级→≤1</t>
        </is>
      </c>
      <c r="F11" s="0" t="inlineStr"/>
    </row>
    <row r="12">
      <c r="A12" s="0" t="inlineStr">
        <is>
          <t>内容</t>
        </is>
      </c>
      <c r="B12" s="0" t="inlineStr">
        <is>
          <t>冲突设置</t>
        </is>
      </c>
      <c r="C12" s="0" t="inlineStr">
        <is>
          <t>风险与代价</t>
        </is>
      </c>
      <c r="D12" s="0" t="inlineStr">
        <is>
          <t>3</t>
        </is>
      </c>
      <c r="E12" s="0" t="inlineStr">
        <is>
          <t>出现“生命/家庭/事业/名誉”等高风险词并兑现代价→3；虚高或未兑现→1–2</t>
        </is>
      </c>
      <c r="F12" s="0" t="inlineStr">
        <is>
          <t>识别“生命/家庭/事业/名誉/自由/金钱”等词与兑现事件。</t>
        </is>
      </c>
    </row>
    <row r="13">
      <c r="A13" s="0" t="inlineStr">
        <is>
          <t>内容</t>
        </is>
      </c>
      <c r="B13" s="0" t="inlineStr">
        <is>
          <t>冲突设置</t>
        </is>
      </c>
      <c r="C13" s="0" t="inlineStr">
        <is>
          <t>解决策略多样性</t>
        </is>
      </c>
      <c r="D13" s="0" t="inlineStr">
        <is>
          <t>1</t>
        </is>
      </c>
      <c r="E13" s="0" t="inlineStr">
        <is>
          <t>方案≥2种且非“神降解题”→1；否则0</t>
        </is>
      </c>
      <c r="F13" s="0" t="inlineStr"/>
    </row>
    <row r="14">
      <c r="A14" s="0" t="inlineStr">
        <is>
          <t>内容</t>
        </is>
      </c>
      <c r="B14" s="0" t="inlineStr">
        <is>
          <t>台词质量</t>
        </is>
      </c>
      <c r="C14" s="0" t="inlineStr">
        <is>
          <t>人设匹配</t>
        </is>
      </c>
      <c r="D14" s="0" t="inlineStr">
        <is>
          <t>3</t>
        </is>
      </c>
      <c r="E14" s="0" t="inlineStr">
        <is>
          <t>语体一致、口吻贴合→3；偶有违和→2；明显不符→≤1</t>
        </is>
      </c>
      <c r="F14" s="0" t="inlineStr"/>
    </row>
    <row r="15">
      <c r="A15" s="0" t="inlineStr">
        <is>
          <t>内容</t>
        </is>
      </c>
      <c r="B15" s="0" t="inlineStr">
        <is>
          <t>台词质量</t>
        </is>
      </c>
      <c r="C15" s="0" t="inlineStr">
        <is>
          <t>信息密度</t>
        </is>
      </c>
      <c r="D15" s="0" t="inlineStr">
        <is>
          <t>3</t>
        </is>
      </c>
      <c r="E15" s="0" t="inlineStr">
        <is>
          <t>每 100 字新增有效信息点≥1.5→3；1.0–1.49→2；&lt;1.0→≤1</t>
        </is>
      </c>
      <c r="F15" s="0" t="inlineStr">
        <is>
          <t>有效信息点（推进剧情/塑造人物/建立世界观/埋伏笔）/总字数。</t>
        </is>
      </c>
    </row>
    <row r="16">
      <c r="A16" s="0" t="inlineStr">
        <is>
          <t>内容</t>
        </is>
      </c>
      <c r="B16" s="0" t="inlineStr">
        <is>
          <t>台词质量</t>
        </is>
      </c>
      <c r="C16" s="0" t="inlineStr">
        <is>
          <t>金句率与记忆点</t>
        </is>
      </c>
      <c r="D16" s="0" t="inlineStr">
        <is>
          <t>2</t>
        </is>
      </c>
      <c r="E16" s="0" t="inlineStr">
        <is>
          <t>每千字≥2句不浮夸→2；仅堆砌或空喊口号→≤1</t>
        </is>
      </c>
      <c r="F16" s="0" t="inlineStr"/>
    </row>
    <row r="17">
      <c r="A17" s="0" t="inlineStr">
        <is>
          <t>内容</t>
        </is>
      </c>
      <c r="B17" s="0" t="inlineStr">
        <is>
          <t>台词质量</t>
        </is>
      </c>
      <c r="C17" s="0" t="inlineStr">
        <is>
          <t>生活化/专业度</t>
        </is>
      </c>
      <c r="D17" s="0" t="inlineStr">
        <is>
          <t>1</t>
        </is>
      </c>
      <c r="E17" s="0" t="inlineStr">
        <is>
          <t>常识与术语准确→1；错漏→0</t>
        </is>
      </c>
      <c r="F17" s="0" t="inlineStr"/>
    </row>
    <row r="18">
      <c r="A18" s="0" t="inlineStr">
        <is>
          <t>内容</t>
        </is>
      </c>
      <c r="B18" s="0" t="inlineStr">
        <is>
          <t>台词质量</t>
        </is>
      </c>
      <c r="C18" s="0" t="inlineStr">
        <is>
          <t>价值观与合规</t>
        </is>
      </c>
      <c r="D18" s="0" t="inlineStr">
        <is>
          <t>1</t>
        </is>
      </c>
      <c r="E18" s="0" t="inlineStr">
        <is>
          <t>无不当话术与尺度→1；存在风险→0</t>
        </is>
      </c>
      <c r="F18" s="0" t="inlineStr"/>
    </row>
    <row r="19">
      <c r="A19" s="0" t="inlineStr">
        <is>
          <t>内容</t>
        </is>
      </c>
      <c r="B19" s="0" t="inlineStr">
        <is>
          <t>人物饱满度</t>
        </is>
      </c>
      <c r="C19" s="0" t="inlineStr">
        <is>
          <t>关键词权重</t>
        </is>
      </c>
      <c r="D19" s="0" t="inlineStr">
        <is>
          <t>40%</t>
        </is>
      </c>
      <c r="E19" s="0" t="inlineStr">
        <is>
          <t>反转/黑化/洗白/救赎/成长/挣扎/人性出现频次（每千字标准化）</t>
        </is>
      </c>
      <c r="F19" s="0" t="inlineStr">
        <is>
          <t>多面性指数：关键词（反转/黑化/洗白/救赎/成长/挣扎/人性）与连接词（但是/然而/一方面/另一方面/看似/实则/表面/内心）加权求和，并按文本长度归一。</t>
        </is>
      </c>
    </row>
    <row r="20">
      <c r="A20" s="0" t="inlineStr">
        <is>
          <t>内容</t>
        </is>
      </c>
      <c r="B20" s="0" t="inlineStr">
        <is>
          <t>人物饱满度</t>
        </is>
      </c>
      <c r="C20" s="0" t="inlineStr">
        <is>
          <t>连接词权重</t>
        </is>
      </c>
      <c r="D20" s="0" t="inlineStr">
        <is>
          <t>30%</t>
        </is>
      </c>
      <c r="E20" s="0" t="inlineStr">
        <is>
          <t>但是/然而/一方面/另一方面/看似/实则/表面/内心共现强度</t>
        </is>
      </c>
      <c r="F20" s="0" t="inlineStr">
        <is>
          <t>同上</t>
        </is>
      </c>
    </row>
    <row r="21">
      <c r="A21" s="0" t="inlineStr">
        <is>
          <t>内容</t>
        </is>
      </c>
      <c r="B21" s="0" t="inlineStr">
        <is>
          <t>人物饱满度</t>
        </is>
      </c>
      <c r="C21" s="0" t="inlineStr">
        <is>
          <t>反差词对</t>
        </is>
      </c>
      <c r="D21" s="0" t="inlineStr">
        <is>
          <t>20%</t>
        </is>
      </c>
      <c r="E21" s="0" t="inlineStr">
        <is>
          <t>正/反面特质同现并与事件绑定（如“温柔/暴烈”、“理性/冲动”）</t>
        </is>
      </c>
      <c r="F21" s="0" t="inlineStr">
        <is>
          <t>同上</t>
        </is>
      </c>
    </row>
    <row r="22">
      <c r="A22" s="0" t="inlineStr">
        <is>
          <t>内容</t>
        </is>
      </c>
      <c r="B22" s="0" t="inlineStr">
        <is>
          <t>人物饱满度</t>
        </is>
      </c>
      <c r="C22" s="0" t="inlineStr">
        <is>
          <t>事件层级与弧光</t>
        </is>
      </c>
      <c r="D22" s="0" t="inlineStr">
        <is>
          <t>10%</t>
        </is>
      </c>
      <c r="E22" s="0" t="inlineStr">
        <is>
          <t>阶段性变化≥3次、与关键节点挂钩</t>
        </is>
      </c>
      <c r="F22" s="0" t="inlineStr">
        <is>
          <t>同上</t>
        </is>
      </c>
    </row>
    <row r="23">
      <c r="A23" s="0" t="inlineStr">
        <is>
          <t>制作</t>
        </is>
      </c>
      <c r="B23" s="0" t="inlineStr">
        <is>
          <t>制作评估</t>
        </is>
      </c>
      <c r="C23" s="0" t="inlineStr">
        <is>
          <t>导演（风格建议）</t>
        </is>
      </c>
      <c r="D23" s="0" t="inlineStr"/>
      <c r="E23" s="0" t="inlineStr">
        <is>
          <t>商业爽剧/写实都市/古装群像/武侠动作/悬疑快剪</t>
        </is>
      </c>
      <c r="F23" s="0" t="inlineStr">
        <is>
          <t>定性建议</t>
        </is>
      </c>
    </row>
    <row r="24">
      <c r="A24" s="0" t="inlineStr">
        <is>
          <t>制作</t>
        </is>
      </c>
      <c r="B24" s="0" t="inlineStr">
        <is>
          <t>制作评估</t>
        </is>
      </c>
      <c r="C24" s="0" t="inlineStr">
        <is>
          <t>场景数量与内外景占比</t>
        </is>
      </c>
      <c r="D24" s="0" t="inlineStr">
        <is>
          <t>8</t>
        </is>
      </c>
      <c r="E24" s="0" t="inlineStr">
        <is>
          <t>场景总数、内景≥60%更易控成本；极端外景或大规模群众戏降低可生产性</t>
        </is>
      </c>
      <c r="F24" s="0" t="inlineStr">
        <is>
          <t>以地点更换/转场标记/情节段落为场景单位；内/外景按地点词与环境描写判定。</t>
        </is>
      </c>
    </row>
    <row r="25">
      <c r="A25" s="0" t="inlineStr">
        <is>
          <t>制作</t>
        </is>
      </c>
      <c r="B25" s="0" t="inlineStr">
        <is>
          <t>制作评估</t>
        </is>
      </c>
      <c r="C25" s="0" t="inlineStr">
        <is>
          <t>演员数量结构</t>
        </is>
      </c>
      <c r="D25" s="0" t="inlineStr">
        <is>
          <t>7</t>
        </is>
      </c>
      <c r="E25" s="0" t="inlineStr">
        <is>
          <t>核心角色 4–8 为佳；群演≈核心×0.6 为基线，大场面适度上调</t>
        </is>
      </c>
      <c r="F25" s="0" t="inlineStr">
        <is>
          <t>文本出现的主要角色与关键反派为核心；群演以群众戏标记和场面规模估算（基线=核心×0.6）。</t>
        </is>
      </c>
    </row>
    <row r="26">
      <c r="A26" s="0" t="inlineStr">
        <is>
          <t>宣发</t>
        </is>
      </c>
      <c r="B26" s="0" t="inlineStr">
        <is>
          <t>宣发评估</t>
        </is>
      </c>
      <c r="C26" s="0" t="inlineStr">
        <is>
          <t>受众定位</t>
        </is>
      </c>
      <c r="D26" s="0" t="inlineStr">
        <is>
          <t>4</t>
        </is>
      </c>
      <c r="E26" s="0" t="inlineStr">
        <is>
          <t>题材与弧光匹配“下沉/一二线、45+/18–35、男/女”细分标签</t>
        </is>
      </c>
      <c r="F26" s="0" t="inlineStr">
        <is>
          <t>对齐平台偏好（红果、抖音、快手、小红书）。</t>
        </is>
      </c>
    </row>
    <row r="27">
      <c r="A27" s="0" t="inlineStr">
        <is>
          <t>宣发</t>
        </is>
      </c>
      <c r="B27" s="0" t="inlineStr">
        <is>
          <t>宣发评估</t>
        </is>
      </c>
      <c r="C27" s="0" t="inlineStr">
        <is>
          <t>上线时间</t>
        </is>
      </c>
      <c r="D27" s="0" t="inlineStr">
        <is>
          <t>3</t>
        </is>
      </c>
      <c r="E27" s="0" t="inlineStr">
        <is>
          <t>工作日晚间/周末黄金/节假日前后依据平台热度与竞品排期</t>
        </is>
      </c>
      <c r="F27" s="0" t="inlineStr">
        <is>
          <t>同上</t>
        </is>
      </c>
    </row>
    <row r="28">
      <c r="A28" s="0" t="inlineStr">
        <is>
          <t>宣发</t>
        </is>
      </c>
      <c r="B28" s="0" t="inlineStr">
        <is>
          <t>宣发评估</t>
        </is>
      </c>
      <c r="C28" s="0" t="inlineStr">
        <is>
          <t>营销方向</t>
        </is>
      </c>
      <c r="D28" s="0" t="inlineStr">
        <is>
          <t>3</t>
        </is>
      </c>
      <c r="E28" s="0" t="inlineStr">
        <is>
          <t>反转爽点/成长救赎/甜虐情绪/知识信息量/家国叙事，明确切片节奏与标题话术</t>
        </is>
      </c>
      <c r="F28" s="0" t="inlineStr">
        <is>
          <t>同上</t>
        </is>
      </c>
    </row>
    <row r="29">
      <c r="A29" s="0" t="inlineStr">
        <is>
          <t>商业价值</t>
        </is>
      </c>
      <c r="B29" s="0" t="inlineStr">
        <is>
          <t>商业价值指数</t>
        </is>
      </c>
      <c r="C29" s="0" t="inlineStr">
        <is>
          <t>题材热度</t>
        </is>
      </c>
      <c r="D29" s="0" t="inlineStr">
        <is>
          <t>2</t>
        </is>
      </c>
      <c r="E29" s="0" t="inlineStr"/>
      <c r="F29" s="0" t="inlineStr">
        <is>
          <t>红果近 1–3 月数据与公开报道；对齐抖音/快手/小红书偏好。</t>
        </is>
      </c>
    </row>
    <row r="30">
      <c r="A30" s="0" t="inlineStr">
        <is>
          <t>商业价值</t>
        </is>
      </c>
      <c r="B30" s="0" t="inlineStr">
        <is>
          <t>商业价值指数</t>
        </is>
      </c>
      <c r="C30" s="0" t="inlineStr">
        <is>
          <t>传播因子</t>
        </is>
      </c>
      <c r="D30" s="0" t="inlineStr">
        <is>
          <t>1.5</t>
        </is>
      </c>
      <c r="E30" s="0" t="inlineStr"/>
      <c r="F30" s="0" t="inlineStr">
        <is>
          <t>反转密度、情绪强度、共鸣点、话题词可制作性。</t>
        </is>
      </c>
    </row>
    <row r="31">
      <c r="A31" s="0" t="inlineStr">
        <is>
          <t>商业价值</t>
        </is>
      </c>
      <c r="B31" s="0" t="inlineStr">
        <is>
          <t>商业价值指数</t>
        </is>
      </c>
      <c r="C31" s="0" t="inlineStr">
        <is>
          <t>可生产性</t>
        </is>
      </c>
      <c r="D31" s="0" t="inlineStr">
        <is>
          <t>1</t>
        </is>
      </c>
      <c r="E31" s="0" t="inlineStr"/>
      <c r="F31" s="0" t="inlineStr">
        <is>
          <t>场景/演员/内外景比例→成本可控度。</t>
        </is>
      </c>
    </row>
    <row r="32">
      <c r="A32" s="0" t="inlineStr">
        <is>
          <t>商业价值</t>
        </is>
      </c>
      <c r="B32" s="0" t="inlineStr">
        <is>
          <t>商业价值指数</t>
        </is>
      </c>
      <c r="C32" s="0" t="inlineStr">
        <is>
          <t>合规风险</t>
        </is>
      </c>
      <c r="D32" s="0" t="inlineStr">
        <is>
          <t>0.5</t>
        </is>
      </c>
      <c r="E32" s="0" t="inlineStr"/>
      <c r="F32" s="0" t="inlineStr">
        <is>
          <t>价值观与尺度安全。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ColWidth="9" defaultRowHeight="15.2"/>
  <sheetData>
    <row r="1">
      <c r="A1" s="0" t="inlineStr">
        <is>
          <t>字段名</t>
        </is>
      </c>
      <c r="B1" s="0" t="inlineStr">
        <is>
          <t>维度</t>
        </is>
      </c>
      <c r="C1" s="0" t="inlineStr">
        <is>
          <t>类型（飞书）</t>
        </is>
      </c>
      <c r="D1" s="0" t="inlineStr">
        <is>
          <t>取值/选项</t>
        </is>
      </c>
      <c r="E1" s="0" t="inlineStr">
        <is>
          <t>公式/规则（飞书）</t>
        </is>
      </c>
      <c r="F1" s="0" t="inlineStr">
        <is>
          <t>说明</t>
        </is>
      </c>
    </row>
    <row r="2">
      <c r="A2" s="0" t="inlineStr">
        <is>
          <t>剧本名</t>
        </is>
      </c>
      <c r="B2" s="0" t="inlineStr">
        <is>
          <t>基础</t>
        </is>
      </c>
      <c r="C2" s="0" t="inlineStr">
        <is>
          <t>文本</t>
        </is>
      </c>
      <c r="D2" s="0" t="inlineStr"/>
      <c r="E2" s="0" t="inlineStr"/>
      <c r="F2" s="0" t="inlineStr">
        <is>
          <t>自动或手动填写</t>
        </is>
      </c>
    </row>
    <row r="3">
      <c r="A3" s="0" t="inlineStr">
        <is>
          <t>剧本URL</t>
        </is>
      </c>
      <c r="B3" s="0" t="inlineStr">
        <is>
          <t>基础</t>
        </is>
      </c>
      <c r="C3" s="0" t="inlineStr">
        <is>
          <t>文本</t>
        </is>
      </c>
      <c r="D3" s="0" t="inlineStr"/>
      <c r="E3" s="0" t="inlineStr"/>
      <c r="F3" s="0" t="inlineStr">
        <is>
          <t>支持粘贴链接</t>
        </is>
      </c>
    </row>
    <row r="4">
      <c r="A4" s="0" t="inlineStr">
        <is>
          <t>全文（粘贴）</t>
        </is>
      </c>
      <c r="B4" s="0" t="inlineStr">
        <is>
          <t>基础</t>
        </is>
      </c>
      <c r="C4" s="0" t="inlineStr">
        <is>
          <t>长文本</t>
        </is>
      </c>
      <c r="D4" s="0" t="inlineStr"/>
      <c r="E4" s="0" t="inlineStr"/>
      <c r="F4" s="0" t="inlineStr">
        <is>
          <t>将全文粘贴到此字段</t>
        </is>
      </c>
    </row>
    <row r="5">
      <c r="A5" s="0" t="inlineStr">
        <is>
          <t>字数（千字）</t>
        </is>
      </c>
      <c r="B5" s="0" t="inlineStr">
        <is>
          <t>内容</t>
        </is>
      </c>
      <c r="C5" s="0" t="inlineStr">
        <is>
          <t>数字</t>
        </is>
      </c>
      <c r="D5" s="0" t="inlineStr"/>
      <c r="F5" s="0" t="inlineStr">
        <is>
          <t>初级估算；正式统计由脚本填充</t>
        </is>
      </c>
    </row>
    <row r="6">
      <c r="A6" s="0" t="inlineStr">
        <is>
          <t>页数</t>
        </is>
      </c>
      <c r="B6" s="0" t="inlineStr">
        <is>
          <t>内容</t>
        </is>
      </c>
      <c r="C6" s="0" t="inlineStr">
        <is>
          <t>数字</t>
        </is>
      </c>
      <c r="D6" s="0" t="inlineStr"/>
      <c r="E6" s="0" t="inlineStr"/>
      <c r="F6" s="0" t="inlineStr">
        <is>
          <t>docx/txt转为页数统计（脚本填充）</t>
        </is>
      </c>
    </row>
    <row r="7">
      <c r="A7" s="0" t="inlineStr">
        <is>
          <t>建议集数</t>
        </is>
      </c>
      <c r="B7" s="0" t="inlineStr">
        <is>
          <t>内容</t>
        </is>
      </c>
      <c r="C7" s="0" t="inlineStr">
        <is>
          <t>单选</t>
        </is>
      </c>
      <c r="D7" s="0" t="inlineStr">
        <is>
          <t>15–20集,20–30集,30–40集</t>
        </is>
      </c>
      <c r="F7" s="0" t="inlineStr">
        <is>
          <t>依据文量规则</t>
        </is>
      </c>
    </row>
    <row r="8">
      <c r="A8" s="0" t="inlineStr">
        <is>
          <t>倾向</t>
        </is>
      </c>
      <c r="B8" s="0" t="inlineStr">
        <is>
          <t>内容</t>
        </is>
      </c>
      <c r="C8" s="0" t="inlineStr">
        <is>
          <t>单选</t>
        </is>
      </c>
      <c r="D8" s="0" t="inlineStr">
        <is>
          <t>男频,女频,双频</t>
        </is>
      </c>
      <c r="E8" s="0" t="inlineStr"/>
      <c r="F8" s="0" t="inlineStr">
        <is>
          <t>脚本基于关键词识别；也可手选</t>
        </is>
      </c>
    </row>
    <row r="9">
      <c r="A9" s="0" t="inlineStr">
        <is>
          <t>时代背景</t>
        </is>
      </c>
      <c r="B9" s="0" t="inlineStr">
        <is>
          <t>内容</t>
        </is>
      </c>
      <c r="C9" s="0" t="inlineStr">
        <is>
          <t>单选</t>
        </is>
      </c>
      <c r="D9" s="0" t="inlineStr">
        <is>
          <t>现代,古代,民国,科幻,其他</t>
        </is>
      </c>
      <c r="E9" s="0" t="inlineStr"/>
      <c r="F9" s="0" t="inlineStr">
        <is>
          <t>脚本依据文本线索；也可手选</t>
        </is>
      </c>
    </row>
    <row r="10">
      <c r="A10" s="0" t="inlineStr">
        <is>
          <t>主题</t>
        </is>
      </c>
      <c r="B10" s="0" t="inlineStr">
        <is>
          <t>内容</t>
        </is>
      </c>
      <c r="C10" s="0" t="inlineStr">
        <is>
          <t>多选</t>
        </is>
      </c>
      <c r="D10" s="0" t="inlineStr">
        <is>
          <t>都市,家庭,职场,武侠,悬疑,复仇,甜宠,乡村,系统,重生,其他</t>
        </is>
      </c>
      <c r="E10" s="0" t="inlineStr"/>
      <c r="F10" s="0" t="inlineStr">
        <is>
          <t>可多选</t>
        </is>
      </c>
    </row>
    <row r="11">
      <c r="A11" s="0" t="inlineStr">
        <is>
          <t>剧情结构（得分）</t>
        </is>
      </c>
      <c r="B11" s="0" t="inlineStr">
        <is>
          <t>内容</t>
        </is>
      </c>
      <c r="C11" s="0" t="inlineStr">
        <is>
          <t>数字</t>
        </is>
      </c>
      <c r="D11" s="0" t="inlineStr"/>
      <c r="F11" s="0" t="inlineStr">
        <is>
          <t>总分15</t>
        </is>
      </c>
    </row>
    <row r="12">
      <c r="A12" s="0" t="inlineStr">
        <is>
          <t>起承转合完整度</t>
        </is>
      </c>
      <c r="B12" s="0" t="inlineStr">
        <is>
          <t>内容</t>
        </is>
      </c>
      <c r="C12" s="0" t="inlineStr">
        <is>
          <t>数字</t>
        </is>
      </c>
      <c r="D12" s="0" t="inlineStr"/>
      <c r="E12" s="0" t="inlineStr"/>
      <c r="F12" s="0" t="inlineStr">
        <is>
          <t>标志段≥5→5分；详见细则</t>
        </is>
      </c>
    </row>
    <row r="13">
      <c r="A13" s="0" t="inlineStr">
        <is>
          <t>转折密度</t>
        </is>
      </c>
      <c r="B13" s="0" t="inlineStr">
        <is>
          <t>内容</t>
        </is>
      </c>
      <c r="C13" s="0" t="inlineStr">
        <is>
          <t>数字</t>
        </is>
      </c>
      <c r="D13" s="0" t="inlineStr"/>
      <c r="E13" s="0" t="inlineStr"/>
      <c r="F13" s="0" t="inlineStr">
        <is>
          <t>每4k–6k字≥1次反转→4分</t>
        </is>
      </c>
    </row>
    <row r="14">
      <c r="A14" s="0" t="inlineStr">
        <is>
          <t>悬念闭合率</t>
        </is>
      </c>
      <c r="B14" s="0" t="inlineStr">
        <is>
          <t>内容</t>
        </is>
      </c>
      <c r="C14" s="0" t="inlineStr">
        <is>
          <t>数字</t>
        </is>
      </c>
      <c r="D14" s="0" t="inlineStr"/>
      <c r="E14" s="0" t="inlineStr"/>
      <c r="F14" s="0" t="inlineStr">
        <is>
          <t>回收比例≥0.8→3分</t>
        </is>
      </c>
    </row>
    <row r="15">
      <c r="A15" s="0" t="inlineStr">
        <is>
          <t>节奏均衡度</t>
        </is>
      </c>
      <c r="B15" s="0" t="inlineStr">
        <is>
          <t>内容</t>
        </is>
      </c>
      <c r="C15" s="0" t="inlineStr">
        <is>
          <t>数字</t>
        </is>
      </c>
      <c r="D15" s="0" t="inlineStr"/>
      <c r="E15" s="0" t="inlineStr"/>
      <c r="F15" s="0" t="inlineStr">
        <is>
          <t>方差适中→2分</t>
        </is>
      </c>
    </row>
    <row r="16">
      <c r="A16" s="0" t="inlineStr">
        <is>
          <t>角色塑造（得分）</t>
        </is>
      </c>
      <c r="B16" s="0" t="inlineStr">
        <is>
          <t>内容</t>
        </is>
      </c>
      <c r="C16" s="0" t="inlineStr">
        <is>
          <t>数字</t>
        </is>
      </c>
      <c r="D16" s="0" t="inlineStr"/>
      <c r="F16" s="0" t="inlineStr">
        <is>
          <t>总分15</t>
        </is>
      </c>
    </row>
    <row r="17">
      <c r="A17" s="0" t="inlineStr">
        <is>
          <t>目标-动机-障碍</t>
        </is>
      </c>
      <c r="B17" s="0" t="inlineStr">
        <is>
          <t>内容</t>
        </is>
      </c>
      <c r="C17" s="0" t="inlineStr">
        <is>
          <t>数字</t>
        </is>
      </c>
      <c r="D17" s="0" t="inlineStr"/>
      <c r="E17" s="0" t="inlineStr"/>
      <c r="F17" s="0" t="inlineStr">
        <is>
          <t>主角与反派齐备→5分</t>
        </is>
      </c>
    </row>
    <row r="18">
      <c r="A18" s="0" t="inlineStr">
        <is>
          <t>弧光与反差</t>
        </is>
      </c>
      <c r="B18" s="0" t="inlineStr">
        <is>
          <t>内容</t>
        </is>
      </c>
      <c r="C18" s="0" t="inlineStr">
        <is>
          <t>数字</t>
        </is>
      </c>
      <c r="D18" s="0" t="inlineStr"/>
      <c r="E18" s="0" t="inlineStr"/>
      <c r="F18" s="0" t="inlineStr">
        <is>
          <t>关键词共现高→6分</t>
        </is>
      </c>
    </row>
    <row r="19">
      <c r="A19" s="0" t="inlineStr">
        <is>
          <t>关系网复杂度</t>
        </is>
      </c>
      <c r="B19" s="0" t="inlineStr">
        <is>
          <t>内容</t>
        </is>
      </c>
      <c r="C19" s="0" t="inlineStr">
        <is>
          <t>数字</t>
        </is>
      </c>
      <c r="D19" s="0" t="inlineStr"/>
      <c r="E19" s="0" t="inlineStr"/>
      <c r="F19" s="0" t="inlineStr">
        <is>
          <t>关系≥4且变化≥2→3分</t>
        </is>
      </c>
    </row>
    <row r="20">
      <c r="A20" s="0" t="inlineStr">
        <is>
          <t>记忆点</t>
        </is>
      </c>
      <c r="B20" s="0" t="inlineStr">
        <is>
          <t>内容</t>
        </is>
      </c>
      <c r="C20" s="0" t="inlineStr">
        <is>
          <t>数字</t>
        </is>
      </c>
      <c r="D20" s="0" t="inlineStr"/>
      <c r="E20" s="0" t="inlineStr"/>
      <c r="F20" s="0" t="inlineStr">
        <is>
          <t>≥2→1分</t>
        </is>
      </c>
    </row>
    <row r="21">
      <c r="A21" s="0" t="inlineStr">
        <is>
          <t>冲突设置（得分）</t>
        </is>
      </c>
      <c r="B21" s="0" t="inlineStr">
        <is>
          <t>内容</t>
        </is>
      </c>
      <c r="C21" s="0" t="inlineStr">
        <is>
          <t>数字</t>
        </is>
      </c>
      <c r="D21" s="0" t="inlineStr"/>
      <c r="F21" s="0" t="inlineStr">
        <is>
          <t>总分10</t>
        </is>
      </c>
    </row>
    <row r="22">
      <c r="A22" s="0" t="inlineStr">
        <is>
          <t>类型覆盖</t>
        </is>
      </c>
      <c r="B22" s="0" t="inlineStr">
        <is>
          <t>内容</t>
        </is>
      </c>
      <c r="C22" s="0" t="inlineStr">
        <is>
          <t>数字</t>
        </is>
      </c>
      <c r="D22" s="0" t="inlineStr"/>
      <c r="E22" s="0" t="inlineStr"/>
      <c r="F22" s="0" t="inlineStr">
        <is>
          <t>至少两类→3分</t>
        </is>
      </c>
    </row>
    <row r="23">
      <c r="A23" s="0" t="inlineStr">
        <is>
          <t>升级曲线</t>
        </is>
      </c>
      <c r="B23" s="0" t="inlineStr">
        <is>
          <t>内容</t>
        </is>
      </c>
      <c r="C23" s="0" t="inlineStr">
        <is>
          <t>数字</t>
        </is>
      </c>
      <c r="D23" s="0" t="inlineStr"/>
      <c r="E23" s="0" t="inlineStr"/>
      <c r="F23" s="0" t="inlineStr">
        <is>
          <t>≥3阶→3分</t>
        </is>
      </c>
    </row>
    <row r="24">
      <c r="A24" s="0" t="inlineStr">
        <is>
          <t>风险与代价</t>
        </is>
      </c>
      <c r="B24" s="0" t="inlineStr">
        <is>
          <t>内容</t>
        </is>
      </c>
      <c r="C24" s="0" t="inlineStr">
        <is>
          <t>数字</t>
        </is>
      </c>
      <c r="D24" s="0" t="inlineStr"/>
      <c r="E24" s="0" t="inlineStr"/>
      <c r="F24" s="0" t="inlineStr">
        <is>
          <t>高风险并兑现代价→3分</t>
        </is>
      </c>
    </row>
    <row r="25">
      <c r="A25" s="0" t="inlineStr">
        <is>
          <t>解决策略多样性</t>
        </is>
      </c>
      <c r="B25" s="0" t="inlineStr">
        <is>
          <t>内容</t>
        </is>
      </c>
      <c r="C25" s="0" t="inlineStr">
        <is>
          <t>数字</t>
        </is>
      </c>
      <c r="D25" s="0" t="inlineStr"/>
      <c r="E25" s="0" t="inlineStr"/>
      <c r="F25" s="0" t="inlineStr">
        <is>
          <t>≥2种且非神降→1分</t>
        </is>
      </c>
    </row>
    <row r="26">
      <c r="A26" s="0" t="inlineStr">
        <is>
          <t>台词质量（得分）</t>
        </is>
      </c>
      <c r="B26" s="0" t="inlineStr">
        <is>
          <t>内容</t>
        </is>
      </c>
      <c r="C26" s="0" t="inlineStr">
        <is>
          <t>数字</t>
        </is>
      </c>
      <c r="D26" s="0" t="inlineStr"/>
      <c r="F26" s="0" t="inlineStr">
        <is>
          <t>总分10</t>
        </is>
      </c>
    </row>
    <row r="27">
      <c r="A27" s="0" t="inlineStr">
        <is>
          <t>人物饱满度（得分）</t>
        </is>
      </c>
      <c r="B27" s="0" t="inlineStr">
        <is>
          <t>人物</t>
        </is>
      </c>
      <c r="C27" s="0" t="inlineStr">
        <is>
          <t>数字</t>
        </is>
      </c>
      <c r="D27" s="0" t="inlineStr"/>
      <c r="F27" s="0" t="inlineStr">
        <is>
          <t>标签：高/中/低</t>
        </is>
      </c>
    </row>
    <row r="28">
      <c r="A28" s="0" t="inlineStr">
        <is>
          <t>制作（得分）</t>
        </is>
      </c>
      <c r="B28" s="0" t="inlineStr">
        <is>
          <t>制作</t>
        </is>
      </c>
      <c r="C28" s="0" t="inlineStr">
        <is>
          <t>数字</t>
        </is>
      </c>
      <c r="D28" s="0" t="inlineStr"/>
      <c r="F28" s="0" t="inlineStr">
        <is>
          <t>总分15</t>
        </is>
      </c>
    </row>
    <row r="29">
      <c r="A29" s="0" t="inlineStr">
        <is>
          <t>宣发（得分）</t>
        </is>
      </c>
      <c r="B29" s="0" t="inlineStr">
        <is>
          <t>宣发</t>
        </is>
      </c>
      <c r="C29" s="0" t="inlineStr">
        <is>
          <t>数字</t>
        </is>
      </c>
      <c r="D29" s="0" t="inlineStr"/>
      <c r="F29" s="0" t="inlineStr">
        <is>
          <t>总分10</t>
        </is>
      </c>
    </row>
    <row r="30">
      <c r="A30" s="0" t="inlineStr">
        <is>
          <t>商业价值指数</t>
        </is>
      </c>
      <c r="B30" s="0" t="inlineStr">
        <is>
          <t>商业</t>
        </is>
      </c>
      <c r="C30" s="0" t="inlineStr">
        <is>
          <t>数字</t>
        </is>
      </c>
      <c r="D30" s="0" t="inlineStr"/>
      <c r="F30" s="0" t="inlineStr">
        <is>
          <t>总分5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7"/>
  <sheetViews>
    <sheetView topLeftCell="A33" workbookViewId="0">
      <selection activeCell="A1" sqref="A1"/>
    </sheetView>
  </sheetViews>
  <sheetFormatPr baseColWidth="8" defaultColWidth="9" defaultRowHeight="15.2"/>
  <sheetData>
    <row r="1">
      <c r="A1" s="0" t="inlineStr">
        <is>
          <t>序号</t>
        </is>
      </c>
      <c r="B1" s="0" t="inlineStr">
        <is>
          <t>剧本名</t>
        </is>
      </c>
      <c r="C1" s="0" t="inlineStr">
        <is>
          <t>剧本URL</t>
        </is>
      </c>
      <c r="D1" s="0" t="inlineStr">
        <is>
          <t>全文（粘贴）</t>
        </is>
      </c>
      <c r="E1" s="0" t="inlineStr">
        <is>
          <t>字数（千字）</t>
        </is>
      </c>
      <c r="F1" s="0" t="inlineStr">
        <is>
          <t>页数</t>
        </is>
      </c>
      <c r="G1" s="0" t="inlineStr">
        <is>
          <t>建议集数</t>
        </is>
      </c>
      <c r="H1" s="0" t="inlineStr">
        <is>
          <t>倾向</t>
        </is>
      </c>
      <c r="I1" s="0" t="inlineStr">
        <is>
          <t>时代背景</t>
        </is>
      </c>
      <c r="J1" s="0" t="inlineStr">
        <is>
          <t>主题</t>
        </is>
      </c>
      <c r="K1" s="0" t="inlineStr">
        <is>
          <t>导演（风格建议）</t>
        </is>
      </c>
      <c r="L1" s="0" t="inlineStr">
        <is>
          <t>场景数量与内外景占比</t>
        </is>
      </c>
      <c r="M1" s="0" t="inlineStr">
        <is>
          <t>演员数量结构</t>
        </is>
      </c>
      <c r="N1" s="0" t="inlineStr">
        <is>
          <t>受众定位</t>
        </is>
      </c>
      <c r="O1" s="0" t="inlineStr">
        <is>
          <t>上线时间</t>
        </is>
      </c>
      <c r="P1" s="0" t="inlineStr">
        <is>
          <t>营销方向</t>
        </is>
      </c>
      <c r="Q1" s="0" t="inlineStr">
        <is>
          <t>类型覆盖</t>
        </is>
      </c>
      <c r="R1" s="0" t="inlineStr">
        <is>
          <t>升级曲线</t>
        </is>
      </c>
      <c r="S1" s="0" t="inlineStr">
        <is>
          <t>风险与代价</t>
        </is>
      </c>
      <c r="T1" s="0" t="inlineStr">
        <is>
          <t>解决策略多样性</t>
        </is>
      </c>
      <c r="U1" s="0" t="inlineStr">
        <is>
          <t>信息密度</t>
        </is>
      </c>
      <c r="V1" s="0" t="inlineStr">
        <is>
          <t>金句率与记忆点</t>
        </is>
      </c>
      <c r="W1" s="0" t="inlineStr">
        <is>
          <t>生活化/专业度</t>
        </is>
      </c>
      <c r="X1" s="0" t="inlineStr">
        <is>
          <t>价值观与合规</t>
        </is>
      </c>
      <c r="Y1" s="0" t="inlineStr">
        <is>
          <t>起承转合完整度</t>
        </is>
      </c>
      <c r="Z1" s="0" t="inlineStr">
        <is>
          <t>转折密度</t>
        </is>
      </c>
      <c r="AA1" s="0" t="inlineStr">
        <is>
          <t>悬念闭合率</t>
        </is>
      </c>
      <c r="AB1" s="0" t="inlineStr">
        <is>
          <t>节奏均衡度</t>
        </is>
      </c>
      <c r="AC1" s="0" t="inlineStr">
        <is>
          <t>剧情结构（得分）</t>
        </is>
      </c>
      <c r="AD1" s="0" t="inlineStr">
        <is>
          <t>目标-动机-障碍</t>
        </is>
      </c>
      <c r="AE1" s="0" t="inlineStr">
        <is>
          <t>弧光与反差</t>
        </is>
      </c>
      <c r="AF1" s="0" t="inlineStr">
        <is>
          <t>关系网复杂度</t>
        </is>
      </c>
      <c r="AG1" s="0" t="inlineStr">
        <is>
          <t>记忆点</t>
        </is>
      </c>
      <c r="AH1" s="0" t="inlineStr">
        <is>
          <t>角色塑造（得分）</t>
        </is>
      </c>
      <c r="AI1" s="0" t="inlineStr">
        <is>
          <t>冲突设置（得分）</t>
        </is>
      </c>
      <c r="AJ1" s="0" t="inlineStr">
        <is>
          <t>人设匹配</t>
        </is>
      </c>
      <c r="AK1" s="0" t="inlineStr">
        <is>
          <t>信息密度（副本，仅用于台词计算）</t>
        </is>
      </c>
      <c r="AL1" s="0" t="inlineStr">
        <is>
          <t>台词质量（得分）</t>
        </is>
      </c>
      <c r="AM1" s="0" t="inlineStr">
        <is>
          <t>人物饱满度｜关键词权重</t>
        </is>
      </c>
      <c r="AN1" s="0" t="inlineStr">
        <is>
          <t>人物饱满度｜连接词权重</t>
        </is>
      </c>
      <c r="AO1" s="0" t="inlineStr">
        <is>
          <t>人物饱满度｜反差词对</t>
        </is>
      </c>
      <c r="AP1" s="0" t="inlineStr">
        <is>
          <t>人物饱满度｜事件层级与弧光</t>
        </is>
      </c>
      <c r="AQ1" s="0" t="inlineStr">
        <is>
          <t>人物饱满度（得分）</t>
        </is>
      </c>
      <c r="AR1" s="0" t="inlineStr">
        <is>
          <t>人物饱满度标签</t>
        </is>
      </c>
      <c r="AS1" s="0" t="inlineStr">
        <is>
          <t>制作（得分）</t>
        </is>
      </c>
      <c r="AT1" s="0" t="inlineStr">
        <is>
          <t>宣发（受众定位分）</t>
        </is>
      </c>
      <c r="AU1" s="0" t="inlineStr">
        <is>
          <t>宣发（上线时间分）</t>
        </is>
      </c>
      <c r="AV1" s="0" t="inlineStr">
        <is>
          <t>宣发（营销方向分）</t>
        </is>
      </c>
      <c r="AW1" s="0" t="inlineStr">
        <is>
          <t>宣发（得分）</t>
        </is>
      </c>
      <c r="AX1" s="0" t="inlineStr">
        <is>
          <t>商业价值｜题材热度</t>
        </is>
      </c>
      <c r="AY1" s="0" t="inlineStr">
        <is>
          <t>商业价值｜传播因子</t>
        </is>
      </c>
      <c r="AZ1" s="0" t="inlineStr">
        <is>
          <t>商业价值｜可生产性</t>
        </is>
      </c>
      <c r="BA1" s="0" t="inlineStr">
        <is>
          <t>商业价值｜合规风险</t>
        </is>
      </c>
      <c r="BB1" s="0" t="inlineStr">
        <is>
          <t>商业价值指数</t>
        </is>
      </c>
      <c r="BC1" s="0" t="inlineStr">
        <is>
          <t>总分</t>
        </is>
      </c>
      <c r="BD1" s="0" t="inlineStr">
        <is>
          <t>评分等级</t>
        </is>
      </c>
      <c r="BE1" s="0" t="inlineStr">
        <is>
          <t>备注</t>
        </is>
      </c>
      <c r="BF1" s="0" t="inlineStr">
        <is>
          <t>评估人</t>
        </is>
      </c>
      <c r="BG1" s="0" t="inlineStr">
        <is>
          <t>评估日期</t>
        </is>
      </c>
      <c r="BH1" s="0" t="inlineStr">
        <is>
          <t>平台推荐</t>
        </is>
      </c>
      <c r="BI1" s="0" t="inlineStr">
        <is>
          <t>版本号</t>
        </is>
      </c>
    </row>
    <row r="2">
      <c r="A2" s="0" t="n">
        <v>1</v>
      </c>
      <c r="B2" s="0" t="inlineStr">
        <is>
          <t>重生皇帝，我摆烂怒骂朝臣</t>
        </is>
      </c>
      <c r="C2" s="0" t="inlineStr">
        <is>
          <t>file:///Users/mr.hu/Desktop/爆款排名/10.31剧本_txt/重生皇帝，我摆烂怒骂朝臣.txt</t>
        </is>
      </c>
      <c r="D2" s="0" t="inlineStr"/>
      <c r="E2" s="0" t="n">
        <v>21.85</v>
      </c>
      <c r="F2" s="0" t="n">
        <v>18</v>
      </c>
      <c r="G2" s="0">
        <f>IF(E2&lt;=8,"15–20集",IF(E2&lt;=20,"20–30集","30–40集"))</f>
        <v/>
      </c>
      <c r="H2" s="0" t="inlineStr">
        <is>
          <t>男频</t>
        </is>
      </c>
      <c r="I2" s="0" t="inlineStr">
        <is>
          <t>古代</t>
        </is>
      </c>
      <c r="J2" s="0" t="inlineStr">
        <is>
          <t>古代权谋/科举</t>
        </is>
      </c>
      <c r="K2" s="0" t="inlineStr">
        <is>
          <t>武侠动作</t>
        </is>
      </c>
      <c r="L2" s="0" t="n">
        <v>4</v>
      </c>
      <c r="M2" s="0" t="n">
        <v>7</v>
      </c>
      <c r="N2" s="0" t="inlineStr">
        <is>
          <t>男性/一二线/45+</t>
        </is>
      </c>
      <c r="O2" s="0" t="inlineStr">
        <is>
          <t>节假日前后</t>
        </is>
      </c>
      <c r="P2" s="0" t="inlineStr">
        <is>
          <t>反转爽点</t>
        </is>
      </c>
      <c r="Q2" s="0" t="n">
        <v>3</v>
      </c>
      <c r="R2" s="0" t="n">
        <v>3</v>
      </c>
      <c r="S2" s="0" t="n">
        <v>1</v>
      </c>
      <c r="T2" s="0" t="n">
        <v>1</v>
      </c>
      <c r="U2" s="0" t="n">
        <v>1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4</v>
      </c>
      <c r="AA2" s="0" t="n">
        <v>2</v>
      </c>
      <c r="AB2" s="0" t="n">
        <v>2</v>
      </c>
      <c r="AC2" s="0">
        <f>MIN(15,SUM(Y2:AB2))</f>
        <v/>
      </c>
      <c r="AD2" s="0" t="n">
        <v>4</v>
      </c>
      <c r="AE2" s="0" t="n">
        <v>4</v>
      </c>
      <c r="AF2" s="0" t="n">
        <v>2</v>
      </c>
      <c r="AG2" s="0" t="n">
        <v>1</v>
      </c>
      <c r="AH2" s="0">
        <f>MIN(15,SUM(AD2:AG2))</f>
        <v/>
      </c>
      <c r="AI2" s="0">
        <f>MIN(10,SUM(Q2:T2))</f>
        <v/>
      </c>
      <c r="AJ2" s="0" t="n">
        <v>3</v>
      </c>
      <c r="AK2" s="0">
        <f>U2</f>
        <v/>
      </c>
      <c r="AL2" s="0">
        <f>MIN(10,AJ2+U2+V2+W2+X2)</f>
        <v/>
      </c>
      <c r="AM2" s="0" t="n">
        <v>3.66</v>
      </c>
      <c r="AN2" s="0" t="n">
        <v>4.12</v>
      </c>
      <c r="AO2" s="0" t="n">
        <v>0</v>
      </c>
      <c r="AP2" s="0" t="n">
        <v>12</v>
      </c>
      <c r="AQ2" s="0">
        <f>ROUND((MIN(AM2,10)/10*8)+(MIN(AN2,10)/10*6)+(MIN(AO2,10)/10*4)+(MIN(AP2,10)/10*2),2)</f>
        <v/>
      </c>
      <c r="AR2" s="0">
        <f>IF(AQ2&gt;=67,"高",IF(AQ2&gt;=34,"中","低"))</f>
        <v/>
      </c>
      <c r="AS2" s="0">
        <f>MIN(15,L2+M2)</f>
        <v/>
      </c>
      <c r="AT2" s="0" t="n">
        <v>3</v>
      </c>
      <c r="AU2" s="0" t="n">
        <v>2</v>
      </c>
      <c r="AV2" s="0" t="n">
        <v>2</v>
      </c>
      <c r="AW2" s="0">
        <f>MIN(10,AT2+AU2+AV2)</f>
        <v/>
      </c>
      <c r="AX2" s="0" t="n">
        <v>2</v>
      </c>
      <c r="AY2" s="0" t="n">
        <v>0.65</v>
      </c>
      <c r="AZ2" s="0" t="n">
        <v>0.7</v>
      </c>
      <c r="BA2" s="0" t="n">
        <v>0.5</v>
      </c>
      <c r="BB2" s="0">
        <f>ROUND((AX2/2*0.4+AY2/1.5*0.3+AZ2/1*0.2+BA2/0.5*0.1)*100,2)</f>
        <v/>
      </c>
      <c r="BC2" s="0">
        <f>ROUND(AC2+AH2+AI2+AL2+AQ2+AS2+AW2+(BB2/100*5),2)</f>
        <v/>
      </c>
      <c r="BD2" s="0">
        <f>IF(BC2&lt;=20,"极弱",IF(BC2&lt;=40,"偏弱",IF(BC2&lt;=60,"中等",IF(BC2&lt;=80,"较强","卓越"))))</f>
        <v/>
      </c>
      <c r="BE2" s="0" t="inlineStr"/>
      <c r="BF2" s="0" t="inlineStr"/>
      <c r="BG2" s="0">
        <f>TODAY()</f>
        <v/>
      </c>
      <c r="BH2" s="0" t="inlineStr">
        <is>
          <t>抖音/快手</t>
        </is>
      </c>
      <c r="BI2" s="0" t="inlineStr">
        <is>
          <t>v1.0</t>
        </is>
      </c>
    </row>
    <row r="3">
      <c r="A3" s="0" t="inlineStr">
        <is>
          <t>2</t>
        </is>
      </c>
      <c r="B3" s="0" t="inlineStr">
        <is>
          <t>不当舔狗后，系统奖励我花一块返</t>
        </is>
      </c>
      <c r="C3" s="0" t="inlineStr">
        <is>
          <t>file:///Users/mr.hu/Desktop/爆款排名/10.31剧本_txt/不当舔狗后，系统奖励我花一块返.txt</t>
        </is>
      </c>
      <c r="E3" s="0" t="n">
        <v>24.84</v>
      </c>
      <c r="F3" s="0" t="n">
        <v>20</v>
      </c>
      <c r="G3" s="0">
        <f>IF(E3&lt;=8,"15–20集",IF(E3&lt;=20,"20–30集","30–40集"))</f>
        <v/>
      </c>
      <c r="H3" s="0" t="inlineStr">
        <is>
          <t>男频</t>
        </is>
      </c>
      <c r="I3" s="0" t="inlineStr">
        <is>
          <t>现代</t>
        </is>
      </c>
      <c r="J3" s="0" t="inlineStr">
        <is>
          <t>职场/商战</t>
        </is>
      </c>
      <c r="K3" s="0" t="inlineStr">
        <is>
          <t>写实都市</t>
        </is>
      </c>
      <c r="L3" s="0" t="n">
        <v>6</v>
      </c>
      <c r="M3" s="0" t="n">
        <v>7</v>
      </c>
      <c r="N3" s="0" t="inlineStr">
        <is>
          <t>男性/一二线/18–35</t>
        </is>
      </c>
      <c r="O3" s="0" t="inlineStr">
        <is>
          <t>周末黄金</t>
        </is>
      </c>
      <c r="P3" s="0" t="inlineStr">
        <is>
          <t>反转爽点</t>
        </is>
      </c>
      <c r="Q3" s="0" t="n">
        <v>3</v>
      </c>
      <c r="R3" s="0" t="n">
        <v>3</v>
      </c>
      <c r="S3" s="0" t="n">
        <v>3</v>
      </c>
      <c r="T3" s="0" t="n">
        <v>1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2</v>
      </c>
      <c r="AB3" s="0" t="n">
        <v>2</v>
      </c>
      <c r="AC3" s="0">
        <f>Y3+Z3+AA3+AB3</f>
        <v/>
      </c>
      <c r="AD3" s="0" t="n">
        <v>2</v>
      </c>
      <c r="AE3" s="0" t="n">
        <v>2</v>
      </c>
      <c r="AF3" s="0" t="n">
        <v>3</v>
      </c>
      <c r="AG3" s="0" t="n">
        <v>0</v>
      </c>
      <c r="AH3" s="0">
        <f>AD3+AE3+AF3+AG3</f>
        <v/>
      </c>
      <c r="AI3" s="0">
        <f>Q3+R3+S3+T3</f>
        <v/>
      </c>
      <c r="AJ3" s="0" t="n">
        <v>3</v>
      </c>
      <c r="AL3" s="0">
        <f>AJ3+U3+V3+W3+X3</f>
        <v/>
      </c>
      <c r="AM3" s="0" t="n">
        <v>0</v>
      </c>
      <c r="AN3" s="0" t="n">
        <v>0</v>
      </c>
      <c r="AO3" s="0" t="n">
        <v>0</v>
      </c>
      <c r="AP3" s="0" t="n">
        <v>12</v>
      </c>
      <c r="AQ3" s="0">
        <f>ROUND((MIN(AM3,10)/10*8)+(MIN(AN3,10)/10*6)+(MIN(AO3,10)/10*4)+(MIN(AP3,10)/10*2),2)</f>
        <v/>
      </c>
      <c r="AS3" s="0">
        <f>L3+M3</f>
        <v/>
      </c>
      <c r="AT3" s="0" t="n">
        <v>3</v>
      </c>
      <c r="AU3" s="0" t="n">
        <v>2</v>
      </c>
      <c r="AV3" s="0" t="n">
        <v>2</v>
      </c>
      <c r="AW3" s="0">
        <f>N3+O3+P3</f>
        <v/>
      </c>
      <c r="AX3" s="0" t="n">
        <v>2</v>
      </c>
      <c r="AY3" s="0" t="n">
        <v>1.5</v>
      </c>
      <c r="AZ3" s="0" t="n">
        <v>0.85</v>
      </c>
      <c r="BA3" s="0" t="n">
        <v>0.5</v>
      </c>
      <c r="BB3" s="0">
        <f>ROUND((AX3/2*0.4+AY3/1.5*0.3+AZ3/1*0.2+BA3/0.5*0.1)*100,2)</f>
        <v/>
      </c>
      <c r="BC3" s="0">
        <f>ROUND(AC3+AH3+AI3+AL3+AQ3+AS3+AW3+(BB3/100*5),2)</f>
        <v/>
      </c>
      <c r="BD3" s="0">
        <f>IF(BC3&lt;=20,"极弱",IF(BC3&lt;=40,"偏弱",IF(BC3&lt;=60,"中等",IF(BC3&lt;=80,"较强","卓越"))))</f>
        <v/>
      </c>
      <c r="BH3" s="0" t="inlineStr">
        <is>
          <t>抖音/快手</t>
        </is>
      </c>
    </row>
    <row r="4">
      <c r="A4" s="0" t="inlineStr">
        <is>
          <t>3</t>
        </is>
      </c>
      <c r="B4" s="0" t="inlineStr">
        <is>
          <t>什么，我捡的保镖是长生老祖？</t>
        </is>
      </c>
      <c r="C4" s="0" t="inlineStr">
        <is>
          <t>file:///Users/mr.hu/Desktop/爆款排名/10.31剧本_txt/什么，我捡的保镖是长生老祖？.txt</t>
        </is>
      </c>
      <c r="E4" s="0" t="n">
        <v>20.32</v>
      </c>
      <c r="F4" s="0" t="n">
        <v>16</v>
      </c>
      <c r="G4" s="0">
        <f>IF(E4&lt;=8,"15–20集",IF(E4&lt;=20,"20–30集","30–40集"))</f>
        <v/>
      </c>
      <c r="H4" s="0" t="inlineStr">
        <is>
          <t>女频</t>
        </is>
      </c>
      <c r="I4" s="0" t="inlineStr">
        <is>
          <t>古代</t>
        </is>
      </c>
      <c r="J4" s="0" t="inlineStr">
        <is>
          <t>职场/商战</t>
        </is>
      </c>
      <c r="K4" s="0" t="inlineStr">
        <is>
          <t>武侠动作</t>
        </is>
      </c>
      <c r="L4" s="0" t="n">
        <v>4</v>
      </c>
      <c r="M4" s="0" t="n">
        <v>5</v>
      </c>
      <c r="N4" s="0" t="inlineStr">
        <is>
          <t>女性/一二线/18–35</t>
        </is>
      </c>
      <c r="O4" s="0" t="inlineStr">
        <is>
          <t>节假日前后</t>
        </is>
      </c>
      <c r="P4" s="0" t="inlineStr">
        <is>
          <t>知识信息量</t>
        </is>
      </c>
      <c r="Q4" s="0" t="n">
        <v>3</v>
      </c>
      <c r="R4" s="0" t="n">
        <v>3</v>
      </c>
      <c r="S4" s="0" t="n">
        <v>1</v>
      </c>
      <c r="T4" s="0" t="n">
        <v>1</v>
      </c>
      <c r="U4" s="0" t="n">
        <v>1</v>
      </c>
      <c r="V4" s="0" t="n">
        <v>2</v>
      </c>
      <c r="W4" s="0" t="n">
        <v>0</v>
      </c>
      <c r="X4" s="0" t="n">
        <v>1</v>
      </c>
      <c r="Y4" s="0" t="n">
        <v>1</v>
      </c>
      <c r="Z4" s="0" t="n">
        <v>4</v>
      </c>
      <c r="AA4" s="0" t="n">
        <v>2</v>
      </c>
      <c r="AB4" s="0" t="n">
        <v>2</v>
      </c>
      <c r="AC4" s="0">
        <f>Y4+Z4+AA4+AB4</f>
        <v/>
      </c>
      <c r="AD4" s="0" t="n">
        <v>3</v>
      </c>
      <c r="AE4" s="0" t="n">
        <v>6</v>
      </c>
      <c r="AF4" s="0" t="n">
        <v>2</v>
      </c>
      <c r="AG4" s="0" t="n">
        <v>0</v>
      </c>
      <c r="AH4" s="0">
        <f>AD4+AE4+AF4+AG4</f>
        <v/>
      </c>
      <c r="AI4" s="0">
        <f>Q4+R4+S4+T4</f>
        <v/>
      </c>
      <c r="AJ4" s="0" t="n">
        <v>3</v>
      </c>
      <c r="AL4" s="0">
        <f>AJ4+U4+V4+W4+X4</f>
        <v/>
      </c>
      <c r="AM4" s="0" t="n">
        <v>3.94</v>
      </c>
      <c r="AN4" s="0" t="n">
        <v>16.24</v>
      </c>
      <c r="AO4" s="0" t="n">
        <v>0</v>
      </c>
      <c r="AP4" s="0" t="n">
        <v>12</v>
      </c>
      <c r="AQ4" s="0">
        <f>ROUND((MIN(AM4,10)/10*8)+(MIN(AN4,10)/10*6)+(MIN(AO4,10)/10*4)+(MIN(AP4,10)/10*2),2)</f>
        <v/>
      </c>
      <c r="AS4" s="0">
        <f>L4+M4</f>
        <v/>
      </c>
      <c r="AT4" s="0" t="n">
        <v>2</v>
      </c>
      <c r="AU4" s="0" t="n">
        <v>2</v>
      </c>
      <c r="AV4" s="0" t="n">
        <v>2</v>
      </c>
      <c r="AW4" s="0">
        <f>N4+O4+P4</f>
        <v/>
      </c>
      <c r="AX4" s="0" t="n">
        <v>1</v>
      </c>
      <c r="AY4" s="0" t="n">
        <v>0.5</v>
      </c>
      <c r="AZ4" s="0" t="n">
        <v>0.585714285714286</v>
      </c>
      <c r="BA4" s="0" t="n">
        <v>0.5</v>
      </c>
      <c r="BB4" s="0">
        <f>ROUND((AX4/2*0.4+AY4/1.5*0.3+AZ4/1*0.2+BA4/0.5*0.1)*100,2)</f>
        <v/>
      </c>
      <c r="BC4" s="0">
        <f>ROUND(AC4+AH4+AI4+AL4+AQ4+AS4+AW4+(BB4/100*5),2)</f>
        <v/>
      </c>
      <c r="BD4" s="0">
        <f>IF(BC4&lt;=20,"极弱",IF(BC4&lt;=40,"偏弱",IF(BC4&lt;=60,"中等",IF(BC4&lt;=80,"较强","卓越"))))</f>
        <v/>
      </c>
      <c r="BH4" s="0" t="inlineStr">
        <is>
          <t>抖音/快手</t>
        </is>
      </c>
    </row>
    <row r="5">
      <c r="A5" s="0" t="inlineStr">
        <is>
          <t>4</t>
        </is>
      </c>
      <c r="B5" s="0" t="inlineStr">
        <is>
          <t>仙帝归来，回到退婚前一天</t>
        </is>
      </c>
      <c r="C5" s="0" t="inlineStr">
        <is>
          <t>file:///Users/mr.hu/Desktop/爆款排名/10.31剧本_txt/仙帝归来，回到退婚前一天.txt</t>
        </is>
      </c>
      <c r="E5" s="0" t="n">
        <v>24.22</v>
      </c>
      <c r="F5" s="0" t="n">
        <v>20</v>
      </c>
      <c r="G5" s="0">
        <f>IF(E5&lt;=8,"15–20集",IF(E5&lt;=20,"20–30集","30–40集"))</f>
        <v/>
      </c>
      <c r="H5" s="0" t="inlineStr">
        <is>
          <t>女频</t>
        </is>
      </c>
      <c r="I5" s="0" t="inlineStr">
        <is>
          <t>科幻/奇幻</t>
        </is>
      </c>
      <c r="J5" s="0" t="inlineStr">
        <is>
          <t>玄幻修仙</t>
        </is>
      </c>
      <c r="K5" s="0" t="inlineStr">
        <is>
          <t>武侠动作</t>
        </is>
      </c>
      <c r="L5" s="0" t="n">
        <v>6</v>
      </c>
      <c r="M5" s="0" t="n">
        <v>7</v>
      </c>
      <c r="N5" s="0" t="inlineStr">
        <is>
          <t>女性/一二线/45+</t>
        </is>
      </c>
      <c r="O5" s="0" t="inlineStr">
        <is>
          <t>周末黄金</t>
        </is>
      </c>
      <c r="P5" s="0" t="inlineStr">
        <is>
          <t>反转爽点</t>
        </is>
      </c>
      <c r="Q5" s="0" t="n">
        <v>3</v>
      </c>
      <c r="R5" s="0" t="n">
        <v>3</v>
      </c>
      <c r="S5" s="0" t="n">
        <v>3</v>
      </c>
      <c r="T5" s="0" t="n">
        <v>0</v>
      </c>
      <c r="U5" s="0" t="n">
        <v>1</v>
      </c>
      <c r="V5" s="0" t="n">
        <v>2</v>
      </c>
      <c r="W5" s="0" t="n">
        <v>1</v>
      </c>
      <c r="X5" s="0" t="n">
        <v>1</v>
      </c>
      <c r="Y5" s="0" t="n">
        <v>2</v>
      </c>
      <c r="Z5" s="0" t="n">
        <v>4</v>
      </c>
      <c r="AA5" s="0" t="n">
        <v>3</v>
      </c>
      <c r="AB5" s="0" t="n">
        <v>2</v>
      </c>
      <c r="AC5" s="0">
        <f>Y5+Z5+AA5+AB5</f>
        <v/>
      </c>
      <c r="AD5" s="0" t="n">
        <v>3</v>
      </c>
      <c r="AE5" s="0" t="n">
        <v>5</v>
      </c>
      <c r="AF5" s="0" t="n">
        <v>2</v>
      </c>
      <c r="AG5" s="0" t="n">
        <v>1</v>
      </c>
      <c r="AH5" s="0">
        <f>AD5+AE5+AF5+AG5</f>
        <v/>
      </c>
      <c r="AI5" s="0">
        <f>Q5+R5+S5+T5</f>
        <v/>
      </c>
      <c r="AJ5" s="0" t="n">
        <v>3</v>
      </c>
      <c r="AL5" s="0">
        <f>AJ5+U5+V5+W5+X5</f>
        <v/>
      </c>
      <c r="AM5" s="0" t="n">
        <v>4.13</v>
      </c>
      <c r="AN5" s="0" t="n">
        <v>2.48</v>
      </c>
      <c r="AO5" s="0" t="n">
        <v>0</v>
      </c>
      <c r="AP5" s="0" t="n">
        <v>12</v>
      </c>
      <c r="AQ5" s="0">
        <f>ROUND((MIN(AM5,10)/10*8)+(MIN(AN5,10)/10*6)+(MIN(AO5,10)/10*4)+(MIN(AP5,10)/10*2),2)</f>
        <v/>
      </c>
      <c r="AS5" s="0">
        <f>L5+M5</f>
        <v/>
      </c>
      <c r="AT5" s="0" t="n">
        <v>3</v>
      </c>
      <c r="AU5" s="0" t="n">
        <v>2</v>
      </c>
      <c r="AV5" s="0" t="n">
        <v>2</v>
      </c>
      <c r="AW5" s="0">
        <f>N5+O5+P5</f>
        <v/>
      </c>
      <c r="AX5" s="0" t="n">
        <v>2</v>
      </c>
      <c r="AY5" s="0" t="n">
        <v>1.5</v>
      </c>
      <c r="AZ5" s="0" t="n">
        <v>0.85</v>
      </c>
      <c r="BA5" s="0" t="n">
        <v>0.5</v>
      </c>
      <c r="BB5" s="0">
        <f>ROUND((AX5/2*0.4+AY5/1.5*0.3+AZ5/1*0.2+BA5/0.5*0.1)*100,2)</f>
        <v/>
      </c>
      <c r="BC5" s="0">
        <f>ROUND(AC5+AH5+AI5+AL5+AQ5+AS5+AW5+(BB5/100*5),2)</f>
        <v/>
      </c>
      <c r="BD5" s="0">
        <f>IF(BC5&lt;=20,"极弱",IF(BC5&lt;=40,"偏弱",IF(BC5&lt;=60,"中等",IF(BC5&lt;=80,"较强","卓越"))))</f>
        <v/>
      </c>
      <c r="BH5" s="0" t="inlineStr">
        <is>
          <t>抖音/快手</t>
        </is>
      </c>
    </row>
    <row r="6">
      <c r="A6" s="0" t="inlineStr">
        <is>
          <t>5</t>
        </is>
      </c>
      <c r="B6" s="0" t="inlineStr">
        <is>
          <t>你们说的对，我真是反派</t>
        </is>
      </c>
      <c r="C6" s="0" t="inlineStr">
        <is>
          <t>file:///Users/mr.hu/Desktop/爆款排名/10.31剧本_txt/你们说的对，我真是反派.txt</t>
        </is>
      </c>
      <c r="E6" s="0" t="n">
        <v>22.98</v>
      </c>
      <c r="F6" s="0" t="n">
        <v>19</v>
      </c>
      <c r="G6" s="0">
        <f>IF(E6&lt;=8,"15–20集",IF(E6&lt;=20,"20–30集","30–40集"))</f>
        <v/>
      </c>
      <c r="H6" s="0" t="inlineStr">
        <is>
          <t>男频</t>
        </is>
      </c>
      <c r="I6" s="0" t="inlineStr">
        <is>
          <t>科幻/奇幻</t>
        </is>
      </c>
      <c r="J6" s="0" t="inlineStr">
        <is>
          <t>玄幻修仙</t>
        </is>
      </c>
      <c r="K6" s="0" t="inlineStr">
        <is>
          <t>武侠动作</t>
        </is>
      </c>
      <c r="L6" s="0" t="n">
        <v>4</v>
      </c>
      <c r="M6" s="0" t="n">
        <v>4</v>
      </c>
      <c r="N6" s="0" t="inlineStr">
        <is>
          <t>男性/一二线/18–35</t>
        </is>
      </c>
      <c r="O6" s="0" t="inlineStr">
        <is>
          <t>节假日前后</t>
        </is>
      </c>
      <c r="P6" s="0" t="inlineStr">
        <is>
          <t>反转爽点</t>
        </is>
      </c>
      <c r="Q6" s="0" t="n">
        <v>3</v>
      </c>
      <c r="R6" s="0" t="n">
        <v>3</v>
      </c>
      <c r="S6" s="0" t="n">
        <v>1</v>
      </c>
      <c r="T6" s="0" t="n">
        <v>1</v>
      </c>
      <c r="U6" s="0" t="n">
        <v>1</v>
      </c>
      <c r="V6" s="0" t="n">
        <v>2</v>
      </c>
      <c r="W6" s="0" t="n">
        <v>0</v>
      </c>
      <c r="X6" s="0" t="n">
        <v>1</v>
      </c>
      <c r="Y6" s="0" t="n">
        <v>3</v>
      </c>
      <c r="Z6" s="0" t="n">
        <v>4</v>
      </c>
      <c r="AA6" s="0" t="n">
        <v>2</v>
      </c>
      <c r="AB6" s="0" t="n">
        <v>2</v>
      </c>
      <c r="AC6" s="0">
        <f>Y6+Z6+AA6+AB6</f>
        <v/>
      </c>
      <c r="AD6" s="0" t="n">
        <v>5</v>
      </c>
      <c r="AE6" s="0" t="n">
        <v>6</v>
      </c>
      <c r="AF6" s="0" t="n">
        <v>2</v>
      </c>
      <c r="AG6" s="0" t="n">
        <v>0</v>
      </c>
      <c r="AH6" s="0">
        <f>AD6+AE6+AF6+AG6</f>
        <v/>
      </c>
      <c r="AI6" s="0">
        <f>Q6+R6+S6+T6</f>
        <v/>
      </c>
      <c r="AJ6" s="0" t="n">
        <v>3</v>
      </c>
      <c r="AL6" s="0">
        <f>AJ6+U6+V6+W6+X6</f>
        <v/>
      </c>
      <c r="AM6" s="0" t="n">
        <v>3.48</v>
      </c>
      <c r="AN6" s="0" t="n">
        <v>16.97</v>
      </c>
      <c r="AO6" s="0" t="n">
        <v>0</v>
      </c>
      <c r="AP6" s="0" t="n">
        <v>36</v>
      </c>
      <c r="AQ6" s="0">
        <f>ROUND((MIN(AM6,10)/10*8)+(MIN(AN6,10)/10*6)+(MIN(AO6,10)/10*4)+(MIN(AP6,10)/10*2),2)</f>
        <v/>
      </c>
      <c r="AS6" s="0">
        <f>L6+M6</f>
        <v/>
      </c>
      <c r="AT6" s="0" t="n">
        <v>3</v>
      </c>
      <c r="AU6" s="0" t="n">
        <v>2</v>
      </c>
      <c r="AV6" s="0" t="n">
        <v>3</v>
      </c>
      <c r="AW6" s="0">
        <f>N6+O6+P6</f>
        <v/>
      </c>
      <c r="AX6" s="0" t="n">
        <v>2</v>
      </c>
      <c r="AY6" s="0" t="n">
        <v>0.65</v>
      </c>
      <c r="AZ6" s="0" t="n">
        <v>0.528571428571429</v>
      </c>
      <c r="BA6" s="0" t="n">
        <v>0.5</v>
      </c>
      <c r="BB6" s="0">
        <f>ROUND((AX6/2*0.4+AY6/1.5*0.3+AZ6/1*0.2+BA6/0.5*0.1)*100,2)</f>
        <v/>
      </c>
      <c r="BC6" s="0">
        <f>ROUND(AC6+AH6+AI6+AL6+AQ6+AS6+AW6+(BB6/100*5),2)</f>
        <v/>
      </c>
      <c r="BD6" s="0">
        <f>IF(BC6&lt;=20,"极弱",IF(BC6&lt;=40,"偏弱",IF(BC6&lt;=60,"中等",IF(BC6&lt;=80,"较强","卓越"))))</f>
        <v/>
      </c>
      <c r="BH6" s="0" t="inlineStr">
        <is>
          <t>抖音/快手</t>
        </is>
      </c>
    </row>
    <row r="7">
      <c r="A7" s="0" t="inlineStr">
        <is>
          <t>6</t>
        </is>
      </c>
      <c r="B7" s="0" t="inlineStr">
        <is>
          <t>你的男友已经八百岁了</t>
        </is>
      </c>
      <c r="C7" s="0" t="inlineStr">
        <is>
          <t>file:///Users/mr.hu/Desktop/爆款排名/10.31剧本_txt/你的男友已经八百岁了.txt</t>
        </is>
      </c>
      <c r="E7" s="0" t="n">
        <v>20.96</v>
      </c>
      <c r="F7" s="0" t="n">
        <v>17</v>
      </c>
      <c r="G7" s="0">
        <f>IF(E7&lt;=8,"15–20集",IF(E7&lt;=20,"20–30集","30–40集"))</f>
        <v/>
      </c>
      <c r="H7" s="0" t="inlineStr">
        <is>
          <t>女频</t>
        </is>
      </c>
      <c r="I7" s="0" t="inlineStr">
        <is>
          <t>科幻/奇幻</t>
        </is>
      </c>
      <c r="J7" s="0" t="inlineStr">
        <is>
          <t>职场/商战</t>
        </is>
      </c>
      <c r="K7" s="0" t="inlineStr">
        <is>
          <t>写实都市</t>
        </is>
      </c>
      <c r="L7" s="0" t="n">
        <v>4</v>
      </c>
      <c r="M7" s="0" t="n">
        <v>7</v>
      </c>
      <c r="N7" s="0" t="inlineStr">
        <is>
          <t>女性/一二线/18–35</t>
        </is>
      </c>
      <c r="O7" s="0" t="inlineStr">
        <is>
          <t>节假日前后</t>
        </is>
      </c>
      <c r="P7" s="0" t="inlineStr">
        <is>
          <t>反转爽点</t>
        </is>
      </c>
      <c r="Q7" s="0" t="n">
        <v>3</v>
      </c>
      <c r="R7" s="0" t="n">
        <v>3</v>
      </c>
      <c r="S7" s="0" t="n">
        <v>1</v>
      </c>
      <c r="T7" s="0" t="n">
        <v>1</v>
      </c>
      <c r="U7" s="0" t="n">
        <v>2</v>
      </c>
      <c r="V7" s="0" t="n">
        <v>2</v>
      </c>
      <c r="W7" s="0" t="n">
        <v>0</v>
      </c>
      <c r="X7" s="0" t="n">
        <v>1</v>
      </c>
      <c r="Y7" s="0" t="n">
        <v>2</v>
      </c>
      <c r="Z7" s="0" t="n">
        <v>4</v>
      </c>
      <c r="AA7" s="0" t="n">
        <v>2</v>
      </c>
      <c r="AB7" s="0" t="n">
        <v>2</v>
      </c>
      <c r="AC7" s="0">
        <f>Y7+Z7+AA7+AB7</f>
        <v/>
      </c>
      <c r="AD7" s="0" t="n">
        <v>5</v>
      </c>
      <c r="AE7" s="0" t="n">
        <v>3</v>
      </c>
      <c r="AF7" s="0" t="n">
        <v>2</v>
      </c>
      <c r="AG7" s="0" t="n">
        <v>1</v>
      </c>
      <c r="AH7" s="0">
        <f>AD7+AE7+AF7+AG7</f>
        <v/>
      </c>
      <c r="AI7" s="0">
        <f>Q7+R7+S7+T7</f>
        <v/>
      </c>
      <c r="AJ7" s="0" t="n">
        <v>3</v>
      </c>
      <c r="AL7" s="0">
        <f>AJ7+U7+V7+W7+X7</f>
        <v/>
      </c>
      <c r="AM7" s="0" t="n">
        <v>3.82</v>
      </c>
      <c r="AN7" s="0" t="n">
        <v>0</v>
      </c>
      <c r="AO7" s="0" t="n">
        <v>25</v>
      </c>
      <c r="AP7" s="0" t="n">
        <v>0</v>
      </c>
      <c r="AQ7" s="0">
        <f>ROUND((MIN(AM7,10)/10*8)+(MIN(AN7,10)/10*6)+(MIN(AO7,10)/10*4)+(MIN(AP7,10)/10*2),2)</f>
        <v/>
      </c>
      <c r="AS7" s="0">
        <f>L7+M7</f>
        <v/>
      </c>
      <c r="AT7" s="0" t="n">
        <v>2</v>
      </c>
      <c r="AU7" s="0" t="n">
        <v>2</v>
      </c>
      <c r="AV7" s="0" t="n">
        <v>2</v>
      </c>
      <c r="AW7" s="0">
        <f>N7+O7+P7</f>
        <v/>
      </c>
      <c r="AX7" s="0" t="n">
        <v>1</v>
      </c>
      <c r="AY7" s="0" t="n">
        <v>0.5</v>
      </c>
      <c r="AZ7" s="0" t="n">
        <v>0.7</v>
      </c>
      <c r="BA7" s="0" t="n">
        <v>0.5</v>
      </c>
      <c r="BB7" s="0">
        <f>ROUND((AX7/2*0.4+AY7/1.5*0.3+AZ7/1*0.2+BA7/0.5*0.1)*100,2)</f>
        <v/>
      </c>
      <c r="BC7" s="0">
        <f>ROUND(AC7+AH7+AI7+AL7+AQ7+AS7+AW7+(BB7/100*5),2)</f>
        <v/>
      </c>
      <c r="BD7" s="0">
        <f>IF(BC7&lt;=20,"极弱",IF(BC7&lt;=40,"偏弱",IF(BC7&lt;=60,"中等",IF(BC7&lt;=80,"较强","卓越"))))</f>
        <v/>
      </c>
      <c r="BH7" s="0" t="inlineStr">
        <is>
          <t>抖音/快手</t>
        </is>
      </c>
    </row>
    <row r="8">
      <c r="A8" s="0" t="inlineStr">
        <is>
          <t>7</t>
        </is>
      </c>
      <c r="B8" s="0" t="inlineStr">
        <is>
          <t>你送外卖的：抢特情的饭碗合适吗</t>
        </is>
      </c>
      <c r="C8" s="0" t="inlineStr">
        <is>
          <t>file:///Users/mr.hu/Desktop/爆款排名/10.31剧本_txt/你送外卖的：抢特情的饭碗合适吗.txt</t>
        </is>
      </c>
      <c r="E8" s="0" t="n">
        <v>25.63</v>
      </c>
      <c r="F8" s="0" t="n">
        <v>21</v>
      </c>
      <c r="G8" s="0">
        <f>IF(E8&lt;=8,"15–20集",IF(E8&lt;=20,"20–30集","30–40集"))</f>
        <v/>
      </c>
      <c r="H8" s="0" t="inlineStr">
        <is>
          <t>男频</t>
        </is>
      </c>
      <c r="I8" s="0" t="inlineStr">
        <is>
          <t>现代</t>
        </is>
      </c>
      <c r="J8" s="0" t="inlineStr">
        <is>
          <t>职场/商战</t>
        </is>
      </c>
      <c r="K8" s="0" t="inlineStr">
        <is>
          <t>写实都市</t>
        </is>
      </c>
      <c r="L8" s="0" t="n">
        <v>5</v>
      </c>
      <c r="M8" s="0" t="n">
        <v>5</v>
      </c>
      <c r="N8" s="0" t="inlineStr">
        <is>
          <t>男性/一二线/18–35</t>
        </is>
      </c>
      <c r="O8" s="0" t="inlineStr">
        <is>
          <t>周末黄金</t>
        </is>
      </c>
      <c r="P8" s="0" t="inlineStr">
        <is>
          <t>知识信息量</t>
        </is>
      </c>
      <c r="Q8" s="0" t="n">
        <v>3</v>
      </c>
      <c r="R8" s="0" t="n">
        <v>2</v>
      </c>
      <c r="S8" s="0" t="n">
        <v>1</v>
      </c>
      <c r="T8" s="0" t="n">
        <v>0</v>
      </c>
      <c r="U8" s="0" t="n">
        <v>1</v>
      </c>
      <c r="V8" s="0" t="n">
        <v>2</v>
      </c>
      <c r="W8" s="0" t="n">
        <v>1</v>
      </c>
      <c r="X8" s="0" t="n">
        <v>0</v>
      </c>
      <c r="Y8" s="0" t="n">
        <v>3</v>
      </c>
      <c r="Z8" s="0" t="n">
        <v>4</v>
      </c>
      <c r="AA8" s="0" t="n">
        <v>2</v>
      </c>
      <c r="AB8" s="0" t="n">
        <v>2</v>
      </c>
      <c r="AC8" s="0">
        <f>Y8+Z8+AA8+AB8</f>
        <v/>
      </c>
      <c r="AD8" s="0" t="n">
        <v>4</v>
      </c>
      <c r="AE8" s="0" t="n">
        <v>4</v>
      </c>
      <c r="AF8" s="0" t="n">
        <v>2</v>
      </c>
      <c r="AG8" s="0" t="n">
        <v>1</v>
      </c>
      <c r="AH8" s="0">
        <f>AD8+AE8+AF8+AG8</f>
        <v/>
      </c>
      <c r="AI8" s="0">
        <f>Q8+R8+S8+T8</f>
        <v/>
      </c>
      <c r="AJ8" s="0" t="n">
        <v>3</v>
      </c>
      <c r="AL8" s="0">
        <f>AJ8+U8+V8+W8+X8</f>
        <v/>
      </c>
      <c r="AM8" s="0" t="n">
        <v>0</v>
      </c>
      <c r="AN8" s="0" t="n">
        <v>7.02</v>
      </c>
      <c r="AO8" s="0" t="n">
        <v>0</v>
      </c>
      <c r="AP8" s="0" t="n">
        <v>12</v>
      </c>
      <c r="AQ8" s="0">
        <f>ROUND((MIN(AM8,10)/10*8)+(MIN(AN8,10)/10*6)+(MIN(AO8,10)/10*4)+(MIN(AP8,10)/10*2),2)</f>
        <v/>
      </c>
      <c r="AS8" s="0">
        <f>L8+M8</f>
        <v/>
      </c>
      <c r="AT8" s="0" t="n">
        <v>3</v>
      </c>
      <c r="AU8" s="0" t="n">
        <v>2</v>
      </c>
      <c r="AV8" s="0" t="n">
        <v>2</v>
      </c>
      <c r="AW8" s="0">
        <f>N8+O8+P8</f>
        <v/>
      </c>
      <c r="AX8" s="0" t="n">
        <v>2</v>
      </c>
      <c r="AY8" s="0" t="n">
        <v>0.85</v>
      </c>
      <c r="AZ8" s="0" t="n">
        <v>0.660714285714286</v>
      </c>
      <c r="BA8" s="0" t="n">
        <v>0.1</v>
      </c>
      <c r="BB8" s="0">
        <f>ROUND((AX8/2*0.4+AY8/1.5*0.3+AZ8/1*0.2+BA8/0.5*0.1)*100,2)</f>
        <v/>
      </c>
      <c r="BC8" s="0">
        <f>ROUND(AC8+AH8+AI8+AL8+AQ8+AS8+AW8+(BB8/100*5),2)</f>
        <v/>
      </c>
      <c r="BD8" s="0">
        <f>IF(BC8&lt;=20,"极弱",IF(BC8&lt;=40,"偏弱",IF(BC8&lt;=60,"中等",IF(BC8&lt;=80,"较强","卓越"))))</f>
        <v/>
      </c>
      <c r="BH8" s="0" t="inlineStr">
        <is>
          <t>抖音/快手</t>
        </is>
      </c>
    </row>
    <row r="9">
      <c r="A9" s="0" t="inlineStr">
        <is>
          <t>8</t>
        </is>
      </c>
      <c r="B9" s="0" t="inlineStr">
        <is>
          <t>傻小子，你大胆一点！</t>
        </is>
      </c>
      <c r="C9" s="0" t="inlineStr">
        <is>
          <t>file:///Users/mr.hu/Desktop/爆款排名/10.31剧本_txt/傻小子，你大胆一点！.txt</t>
        </is>
      </c>
      <c r="E9" s="0" t="n">
        <v>23.51</v>
      </c>
      <c r="F9" s="0" t="n">
        <v>19</v>
      </c>
      <c r="G9" s="0">
        <f>IF(E9&lt;=8,"15–20集",IF(E9&lt;=20,"20–30集","30–40集"))</f>
        <v/>
      </c>
      <c r="H9" s="0" t="inlineStr">
        <is>
          <t>女频</t>
        </is>
      </c>
      <c r="I9" s="0" t="inlineStr">
        <is>
          <t>科幻/奇幻</t>
        </is>
      </c>
      <c r="J9" s="0" t="inlineStr">
        <is>
          <t>职场/商战</t>
        </is>
      </c>
      <c r="K9" s="0" t="inlineStr">
        <is>
          <t>悬疑快剪</t>
        </is>
      </c>
      <c r="L9" s="0" t="n">
        <v>8</v>
      </c>
      <c r="M9" s="0" t="n">
        <v>4</v>
      </c>
      <c r="N9" s="0" t="inlineStr">
        <is>
          <t>女性/下沉/18–35</t>
        </is>
      </c>
      <c r="O9" s="0" t="inlineStr">
        <is>
          <t>周末黄金</t>
        </is>
      </c>
      <c r="P9" s="0" t="inlineStr">
        <is>
          <t>反转爽点</t>
        </is>
      </c>
      <c r="Q9" s="0" t="n">
        <v>3</v>
      </c>
      <c r="R9" s="0" t="n">
        <v>2</v>
      </c>
      <c r="S9" s="0" t="n">
        <v>3</v>
      </c>
      <c r="T9" s="0" t="n">
        <v>1</v>
      </c>
      <c r="U9" s="0" t="n">
        <v>2</v>
      </c>
      <c r="V9" s="0" t="n">
        <v>2</v>
      </c>
      <c r="W9" s="0" t="n">
        <v>0</v>
      </c>
      <c r="X9" s="0" t="n">
        <v>1</v>
      </c>
      <c r="Y9" s="0" t="n">
        <v>1</v>
      </c>
      <c r="Z9" s="0" t="n">
        <v>4</v>
      </c>
      <c r="AA9" s="0" t="n">
        <v>3</v>
      </c>
      <c r="AB9" s="0" t="n">
        <v>2</v>
      </c>
      <c r="AC9" s="0">
        <f>Y9+Z9+AA9+AB9</f>
        <v/>
      </c>
      <c r="AD9" s="0" t="n">
        <v>2</v>
      </c>
      <c r="AE9" s="0" t="n">
        <v>5</v>
      </c>
      <c r="AF9" s="0" t="n">
        <v>2</v>
      </c>
      <c r="AG9" s="0" t="n">
        <v>0</v>
      </c>
      <c r="AH9" s="0">
        <f>AD9+AE9+AF9+AG9</f>
        <v/>
      </c>
      <c r="AI9" s="0">
        <f>Q9+R9+S9+T9</f>
        <v/>
      </c>
      <c r="AJ9" s="0" t="n">
        <v>3</v>
      </c>
      <c r="AL9" s="0">
        <f>AJ9+U9+V9+W9+X9</f>
        <v/>
      </c>
      <c r="AM9" s="0" t="n">
        <v>6.8</v>
      </c>
      <c r="AN9" s="0" t="n">
        <v>2.55</v>
      </c>
      <c r="AO9" s="0" t="n">
        <v>25</v>
      </c>
      <c r="AP9" s="0" t="n">
        <v>24</v>
      </c>
      <c r="AQ9" s="0">
        <f>ROUND((MIN(AM9,10)/10*8)+(MIN(AN9,10)/10*6)+(MIN(AO9,10)/10*4)+(MIN(AP9,10)/10*2),2)</f>
        <v/>
      </c>
      <c r="AS9" s="0">
        <f>L9+M9</f>
        <v/>
      </c>
      <c r="AT9" s="0" t="n">
        <v>3</v>
      </c>
      <c r="AU9" s="0" t="n">
        <v>2</v>
      </c>
      <c r="AV9" s="0" t="n">
        <v>3</v>
      </c>
      <c r="AW9" s="0">
        <f>N9+O9+P9</f>
        <v/>
      </c>
      <c r="AX9" s="0" t="n">
        <v>2</v>
      </c>
      <c r="AY9" s="0" t="n">
        <v>1.5</v>
      </c>
      <c r="AZ9" s="0" t="n">
        <v>0.828571428571429</v>
      </c>
      <c r="BA9" s="0" t="n">
        <v>0.5</v>
      </c>
      <c r="BB9" s="0">
        <f>ROUND((AX9/2*0.4+AY9/1.5*0.3+AZ9/1*0.2+BA9/0.5*0.1)*100,2)</f>
        <v/>
      </c>
      <c r="BC9" s="0">
        <f>ROUND(AC9+AH9+AI9+AL9+AQ9+AS9+AW9+(BB9/100*5),2)</f>
        <v/>
      </c>
      <c r="BD9" s="0">
        <f>IF(BC9&lt;=20,"极弱",IF(BC9&lt;=40,"偏弱",IF(BC9&lt;=60,"中等",IF(BC9&lt;=80,"较强","卓越"))))</f>
        <v/>
      </c>
      <c r="BH9" s="0" t="inlineStr">
        <is>
          <t>视频号/快手</t>
        </is>
      </c>
    </row>
    <row r="10">
      <c r="A10" s="0" t="inlineStr">
        <is>
          <t>9</t>
        </is>
      </c>
      <c r="B10" s="0" t="inlineStr">
        <is>
          <t>全家土匪，就我一个考状元</t>
        </is>
      </c>
      <c r="C10" s="0" t="inlineStr">
        <is>
          <t>file:///Users/mr.hu/Desktop/爆款排名/10.31剧本_txt/全家土匪，就我一个考状元.txt</t>
        </is>
      </c>
      <c r="E10" s="0" t="n">
        <v>29.6</v>
      </c>
      <c r="F10" s="0" t="n">
        <v>24</v>
      </c>
      <c r="G10" s="0">
        <f>IF(E10&lt;=8,"15–20集",IF(E10&lt;=20,"20–30集","30–40集"))</f>
        <v/>
      </c>
      <c r="H10" s="0" t="inlineStr">
        <is>
          <t>男频</t>
        </is>
      </c>
      <c r="I10" s="0" t="inlineStr">
        <is>
          <t>古代</t>
        </is>
      </c>
      <c r="J10" s="0" t="inlineStr">
        <is>
          <t>古代权谋/科举</t>
        </is>
      </c>
      <c r="K10" s="0" t="inlineStr">
        <is>
          <t>武侠动作</t>
        </is>
      </c>
      <c r="L10" s="0" t="n">
        <v>6</v>
      </c>
      <c r="M10" s="0" t="n">
        <v>7</v>
      </c>
      <c r="N10" s="0" t="inlineStr">
        <is>
          <t>男性/下沉/45+</t>
        </is>
      </c>
      <c r="O10" s="0" t="inlineStr">
        <is>
          <t>周末黄金</t>
        </is>
      </c>
      <c r="P10" s="0" t="inlineStr">
        <is>
          <t>知识信息量</t>
        </is>
      </c>
      <c r="Q10" s="0" t="n">
        <v>3</v>
      </c>
      <c r="R10" s="0" t="n">
        <v>3</v>
      </c>
      <c r="S10" s="0" t="n">
        <v>1</v>
      </c>
      <c r="T10" s="0" t="n">
        <v>1</v>
      </c>
      <c r="U10" s="0" t="n">
        <v>1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2</v>
      </c>
      <c r="AC10" s="0">
        <f>Y10+Z10+AA10+AB10</f>
        <v/>
      </c>
      <c r="AD10" s="0" t="n">
        <v>4</v>
      </c>
      <c r="AE10" s="0" t="n">
        <v>4</v>
      </c>
      <c r="AF10" s="0" t="n">
        <v>2</v>
      </c>
      <c r="AG10" s="0" t="n">
        <v>1</v>
      </c>
      <c r="AH10" s="0">
        <f>AD10+AE10+AF10+AG10</f>
        <v/>
      </c>
      <c r="AI10" s="0">
        <f>Q10+R10+S10+T10</f>
        <v/>
      </c>
      <c r="AJ10" s="0" t="n">
        <v>3</v>
      </c>
      <c r="AL10" s="0">
        <f>AJ10+U10+V10+W10+X10</f>
        <v/>
      </c>
      <c r="AM10" s="0" t="n">
        <v>0.68</v>
      </c>
      <c r="AN10" s="0" t="n">
        <v>3.04</v>
      </c>
      <c r="AO10" s="0" t="n">
        <v>0</v>
      </c>
      <c r="AP10" s="0" t="n">
        <v>24</v>
      </c>
      <c r="AQ10" s="0">
        <f>ROUND((MIN(AM10,10)/10*8)+(MIN(AN10,10)/10*6)+(MIN(AO10,10)/10*4)+(MIN(AP10,10)/10*2),2)</f>
        <v/>
      </c>
      <c r="AS10" s="0">
        <f>L10+M10</f>
        <v/>
      </c>
      <c r="AT10" s="0" t="n">
        <v>2</v>
      </c>
      <c r="AU10" s="0" t="n">
        <v>2</v>
      </c>
      <c r="AV10" s="0" t="n">
        <v>2</v>
      </c>
      <c r="AW10" s="0">
        <f>N10+O10+P10</f>
        <v/>
      </c>
      <c r="AX10" s="0" t="n">
        <v>2</v>
      </c>
      <c r="AY10" s="0" t="n">
        <v>1.15</v>
      </c>
      <c r="AZ10" s="0" t="n">
        <v>0.85</v>
      </c>
      <c r="BA10" s="0" t="n">
        <v>0.3</v>
      </c>
      <c r="BB10" s="0">
        <f>ROUND((AX10/2*0.4+AY10/1.5*0.3+AZ10/1*0.2+BA10/0.5*0.1)*100,2)</f>
        <v/>
      </c>
      <c r="BC10" s="0">
        <f>ROUND(AC10+AH10+AI10+AL10+AQ10+AS10+AW10+(BB10/100*5),2)</f>
        <v/>
      </c>
      <c r="BD10" s="0">
        <f>IF(BC10&lt;=20,"极弱",IF(BC10&lt;=40,"偏弱",IF(BC10&lt;=60,"中等",IF(BC10&lt;=80,"较强","卓越"))))</f>
        <v/>
      </c>
      <c r="BH10" s="0" t="inlineStr">
        <is>
          <t>视频号/快手</t>
        </is>
      </c>
    </row>
    <row r="11">
      <c r="A11" s="0" t="inlineStr">
        <is>
          <t>10</t>
        </is>
      </c>
      <c r="B11" s="0" t="inlineStr">
        <is>
          <t>六十离婚，抢走继子前女友走上巅</t>
        </is>
      </c>
      <c r="C11" s="0" t="inlineStr">
        <is>
          <t>file:///Users/mr.hu/Desktop/爆款排名/10.31剧本_txt/六十离婚，抢走继子前女友走上巅.txt</t>
        </is>
      </c>
      <c r="E11" s="0" t="n">
        <v>20.99</v>
      </c>
      <c r="F11" s="0" t="n">
        <v>17</v>
      </c>
      <c r="G11" s="0">
        <f>IF(E11&lt;=8,"15–20集",IF(E11&lt;=20,"20–30集","30–40集"))</f>
        <v/>
      </c>
      <c r="H11" s="0" t="inlineStr">
        <is>
          <t>男频</t>
        </is>
      </c>
      <c r="I11" s="0" t="inlineStr">
        <is>
          <t>科幻/奇幻</t>
        </is>
      </c>
      <c r="J11" s="0" t="inlineStr">
        <is>
          <t>职场/商战</t>
        </is>
      </c>
      <c r="K11" s="0" t="inlineStr">
        <is>
          <t>写实都市</t>
        </is>
      </c>
      <c r="L11" s="0" t="n">
        <v>4</v>
      </c>
      <c r="M11" s="0" t="n">
        <v>5</v>
      </c>
      <c r="N11" s="0" t="inlineStr">
        <is>
          <t>男性/一二线/45+</t>
        </is>
      </c>
      <c r="O11" s="0" t="inlineStr">
        <is>
          <t>节假日前后</t>
        </is>
      </c>
      <c r="P11" s="0" t="inlineStr">
        <is>
          <t>反转爽点</t>
        </is>
      </c>
      <c r="Q11" s="0" t="n">
        <v>3</v>
      </c>
      <c r="R11" s="0" t="n">
        <v>3</v>
      </c>
      <c r="S11" s="0" t="n">
        <v>3</v>
      </c>
      <c r="T11" s="0" t="n">
        <v>1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4</v>
      </c>
      <c r="AA11" s="0" t="n">
        <v>2</v>
      </c>
      <c r="AB11" s="0" t="n">
        <v>2</v>
      </c>
      <c r="AC11" s="0">
        <f>Y11+Z11+AA11+AB11</f>
        <v/>
      </c>
      <c r="AD11" s="0" t="n">
        <v>4</v>
      </c>
      <c r="AE11" s="0" t="n">
        <v>4</v>
      </c>
      <c r="AF11" s="0" t="n">
        <v>3</v>
      </c>
      <c r="AG11" s="0" t="n">
        <v>1</v>
      </c>
      <c r="AH11" s="0">
        <f>AD11+AE11+AF11+AG11</f>
        <v/>
      </c>
      <c r="AI11" s="0">
        <f>Q11+R11+S11+T11</f>
        <v/>
      </c>
      <c r="AJ11" s="0" t="n">
        <v>3</v>
      </c>
      <c r="AL11" s="0">
        <f>AJ11+U11+V11+W11+X11</f>
        <v/>
      </c>
      <c r="AM11" s="0" t="n">
        <v>2.86</v>
      </c>
      <c r="AN11" s="0" t="n">
        <v>1.43</v>
      </c>
      <c r="AO11" s="0" t="n">
        <v>25</v>
      </c>
      <c r="AP11" s="0" t="n">
        <v>12</v>
      </c>
      <c r="AQ11" s="0">
        <f>ROUND((MIN(AM11,10)/10*8)+(MIN(AN11,10)/10*6)+(MIN(AO11,10)/10*4)+(MIN(AP11,10)/10*2),2)</f>
        <v/>
      </c>
      <c r="AS11" s="0">
        <f>L11+M11</f>
        <v/>
      </c>
      <c r="AT11" s="0" t="n">
        <v>3</v>
      </c>
      <c r="AU11" s="0" t="n">
        <v>2</v>
      </c>
      <c r="AV11" s="0" t="n">
        <v>2</v>
      </c>
      <c r="AW11" s="0">
        <f>N11+O11+P11</f>
        <v/>
      </c>
      <c r="AX11" s="0" t="n">
        <v>2</v>
      </c>
      <c r="AY11" s="0" t="n">
        <v>0.6</v>
      </c>
      <c r="AZ11" s="0" t="n">
        <v>0.585714285714286</v>
      </c>
      <c r="BA11" s="0" t="n">
        <v>0.5</v>
      </c>
      <c r="BB11" s="0">
        <f>ROUND((AX11/2*0.4+AY11/1.5*0.3+AZ11/1*0.2+BA11/0.5*0.1)*100,2)</f>
        <v/>
      </c>
      <c r="BC11" s="0">
        <f>ROUND(AC11+AH11+AI11+AL11+AQ11+AS11+AW11+(BB11/100*5),2)</f>
        <v/>
      </c>
      <c r="BD11" s="0">
        <f>IF(BC11&lt;=20,"极弱",IF(BC11&lt;=40,"偏弱",IF(BC11&lt;=60,"中等",IF(BC11&lt;=80,"较强","卓越"))))</f>
        <v/>
      </c>
      <c r="BH11" s="0" t="inlineStr">
        <is>
          <t>抖音/快手</t>
        </is>
      </c>
    </row>
    <row r="12">
      <c r="A12" s="0" t="inlineStr">
        <is>
          <t>11</t>
        </is>
      </c>
      <c r="B12" s="0" t="inlineStr">
        <is>
          <t>刚被候府撵，转头科举当状元</t>
        </is>
      </c>
      <c r="C12" s="0" t="inlineStr">
        <is>
          <t>file:///Users/mr.hu/Desktop/爆款排名/10.31剧本_txt/刚被候府撵，转头科举当状元.txt</t>
        </is>
      </c>
      <c r="E12" s="0" t="n">
        <v>24.21</v>
      </c>
      <c r="F12" s="0" t="n">
        <v>20</v>
      </c>
      <c r="G12" s="0">
        <f>IF(E12&lt;=8,"15–20集",IF(E12&lt;=20,"20–30集","30–40集"))</f>
        <v/>
      </c>
      <c r="H12" s="0" t="inlineStr">
        <is>
          <t>男频</t>
        </is>
      </c>
      <c r="I12" s="0" t="inlineStr">
        <is>
          <t>古代</t>
        </is>
      </c>
      <c r="J12" s="0" t="inlineStr">
        <is>
          <t>古代权谋/科举</t>
        </is>
      </c>
      <c r="K12" s="0" t="inlineStr">
        <is>
          <t>武侠动作</t>
        </is>
      </c>
      <c r="L12" s="0" t="n">
        <v>5</v>
      </c>
      <c r="M12" s="0" t="n">
        <v>7</v>
      </c>
      <c r="N12" s="0" t="inlineStr">
        <is>
          <t>男性/下沉/45+</t>
        </is>
      </c>
      <c r="O12" s="0" t="inlineStr">
        <is>
          <t>周末黄金</t>
        </is>
      </c>
      <c r="P12" s="0" t="inlineStr">
        <is>
          <t>反转爽点</t>
        </is>
      </c>
      <c r="Q12" s="0" t="n">
        <v>3</v>
      </c>
      <c r="R12" s="0" t="n">
        <v>3</v>
      </c>
      <c r="S12" s="0" t="n">
        <v>3</v>
      </c>
      <c r="T12" s="0" t="n">
        <v>1</v>
      </c>
      <c r="U12" s="0" t="n">
        <v>3</v>
      </c>
      <c r="V12" s="0" t="n">
        <v>2</v>
      </c>
      <c r="W12" s="0" t="n">
        <v>1</v>
      </c>
      <c r="X12" s="0" t="n">
        <v>0</v>
      </c>
      <c r="Y12" s="0" t="n">
        <v>6</v>
      </c>
      <c r="Z12" s="0" t="n">
        <v>4</v>
      </c>
      <c r="AA12" s="0" t="n">
        <v>2</v>
      </c>
      <c r="AB12" s="0" t="n">
        <v>2</v>
      </c>
      <c r="AC12" s="0">
        <f>Y12+Z12+AA12+AB12</f>
        <v/>
      </c>
      <c r="AD12" s="0" t="n">
        <v>4</v>
      </c>
      <c r="AE12" s="0" t="n">
        <v>3</v>
      </c>
      <c r="AF12" s="0" t="n">
        <v>2</v>
      </c>
      <c r="AG12" s="0" t="n">
        <v>1</v>
      </c>
      <c r="AH12" s="0">
        <f>AD12+AE12+AF12+AG12</f>
        <v/>
      </c>
      <c r="AI12" s="0">
        <f>Q12+R12+S12+T12</f>
        <v/>
      </c>
      <c r="AJ12" s="0" t="n">
        <v>3</v>
      </c>
      <c r="AL12" s="0">
        <f>AJ12+U12+V12+W12+X12</f>
        <v/>
      </c>
      <c r="AM12" s="0" t="n">
        <v>3.3</v>
      </c>
      <c r="AN12" s="0" t="n">
        <v>1.24</v>
      </c>
      <c r="AO12" s="0" t="n">
        <v>25</v>
      </c>
      <c r="AP12" s="0" t="n">
        <v>96</v>
      </c>
      <c r="AQ12" s="0">
        <f>ROUND((MIN(AM12,10)/10*8)+(MIN(AN12,10)/10*6)+(MIN(AO12,10)/10*4)+(MIN(AP12,10)/10*2),2)</f>
        <v/>
      </c>
      <c r="AS12" s="0">
        <f>L12+M12</f>
        <v/>
      </c>
      <c r="AT12" s="0" t="n">
        <v>3</v>
      </c>
      <c r="AU12" s="0" t="n">
        <v>2</v>
      </c>
      <c r="AV12" s="0" t="n">
        <v>2</v>
      </c>
      <c r="AW12" s="0">
        <f>N12+O12+P12</f>
        <v/>
      </c>
      <c r="AX12" s="0" t="n">
        <v>2</v>
      </c>
      <c r="AY12" s="0" t="n">
        <v>1.2</v>
      </c>
      <c r="AZ12" s="0" t="n">
        <v>0.775</v>
      </c>
      <c r="BA12" s="0" t="n">
        <v>0.3</v>
      </c>
      <c r="BB12" s="0">
        <f>ROUND((AX12/2*0.4+AY12/1.5*0.3+AZ12/1*0.2+BA12/0.5*0.1)*100,2)</f>
        <v/>
      </c>
      <c r="BC12" s="0">
        <f>ROUND(AC12+AH12+AI12+AL12+AQ12+AS12+AW12+(BB12/100*5),2)</f>
        <v/>
      </c>
      <c r="BD12" s="0">
        <f>IF(BC12&lt;=20,"极弱",IF(BC12&lt;=40,"偏弱",IF(BC12&lt;=60,"中等",IF(BC12&lt;=80,"较强","卓越"))))</f>
        <v/>
      </c>
      <c r="BH12" s="0" t="inlineStr">
        <is>
          <t>视频号/快手</t>
        </is>
      </c>
    </row>
    <row r="13">
      <c r="A13" s="0" t="inlineStr">
        <is>
          <t>12</t>
        </is>
      </c>
      <c r="B13" s="0" t="inlineStr">
        <is>
          <t>前任修罗场？我强行续命！</t>
        </is>
      </c>
      <c r="C13" s="0" t="inlineStr">
        <is>
          <t>file:///Users/mr.hu/Desktop/爆款排名/10.31剧本_txt/前任修罗场？我强行续命！.txt</t>
        </is>
      </c>
      <c r="E13" s="0" t="n">
        <v>22.17</v>
      </c>
      <c r="F13" s="0" t="n">
        <v>18</v>
      </c>
      <c r="G13" s="0">
        <f>IF(E13&lt;=8,"15–20集",IF(E13&lt;=20,"20–30集","30–40集"))</f>
        <v/>
      </c>
      <c r="H13" s="0" t="inlineStr">
        <is>
          <t>男频</t>
        </is>
      </c>
      <c r="I13" s="0" t="inlineStr">
        <is>
          <t>古代</t>
        </is>
      </c>
      <c r="J13" s="0" t="inlineStr">
        <is>
          <t>职场/商战</t>
        </is>
      </c>
      <c r="K13" s="0" t="inlineStr">
        <is>
          <t>古装群像</t>
        </is>
      </c>
      <c r="L13" s="0" t="n">
        <v>4</v>
      </c>
      <c r="M13" s="0" t="n">
        <v>5</v>
      </c>
      <c r="N13" s="0" t="inlineStr">
        <is>
          <t>男性/一二线/18–35</t>
        </is>
      </c>
      <c r="O13" s="0" t="inlineStr">
        <is>
          <t>周末黄金</t>
        </is>
      </c>
      <c r="P13" s="0" t="inlineStr">
        <is>
          <t>反转爽点</t>
        </is>
      </c>
      <c r="Q13" s="0" t="n">
        <v>3</v>
      </c>
      <c r="R13" s="0" t="n">
        <v>2</v>
      </c>
      <c r="S13" s="0" t="n">
        <v>3</v>
      </c>
      <c r="T13" s="0" t="n">
        <v>1</v>
      </c>
      <c r="U13" s="0" t="n">
        <v>1</v>
      </c>
      <c r="V13" s="0" t="n">
        <v>2</v>
      </c>
      <c r="W13" s="0" t="n">
        <v>0</v>
      </c>
      <c r="X13" s="0" t="n">
        <v>1</v>
      </c>
      <c r="Y13" s="0" t="n">
        <v>1</v>
      </c>
      <c r="Z13" s="0" t="n">
        <v>4</v>
      </c>
      <c r="AA13" s="0" t="n">
        <v>2</v>
      </c>
      <c r="AB13" s="0" t="n">
        <v>2</v>
      </c>
      <c r="AC13" s="0">
        <f>Y13+Z13+AA13+AB13</f>
        <v/>
      </c>
      <c r="AD13" s="0" t="n">
        <v>4</v>
      </c>
      <c r="AE13" s="0" t="n">
        <v>5</v>
      </c>
      <c r="AF13" s="0" t="n">
        <v>3</v>
      </c>
      <c r="AG13" s="0" t="n">
        <v>1</v>
      </c>
      <c r="AH13" s="0">
        <f>AD13+AE13+AF13+AG13</f>
        <v/>
      </c>
      <c r="AI13" s="0">
        <f>Q13+R13+S13+T13</f>
        <v/>
      </c>
      <c r="AJ13" s="0" t="n">
        <v>2</v>
      </c>
      <c r="AL13" s="0">
        <f>AJ13+U13+V13+W13+X13</f>
        <v/>
      </c>
      <c r="AM13" s="0" t="n">
        <v>2.71</v>
      </c>
      <c r="AN13" s="0" t="n">
        <v>9.470000000000001</v>
      </c>
      <c r="AO13" s="0" t="n">
        <v>0</v>
      </c>
      <c r="AP13" s="0" t="n">
        <v>24</v>
      </c>
      <c r="AQ13" s="0">
        <f>ROUND((MIN(AM13,10)/10*8)+(MIN(AN13,10)/10*6)+(MIN(AO13,10)/10*4)+(MIN(AP13,10)/10*2),2)</f>
        <v/>
      </c>
      <c r="AS13" s="0">
        <f>L13+M13</f>
        <v/>
      </c>
      <c r="AT13" s="0" t="n">
        <v>3</v>
      </c>
      <c r="AU13" s="0" t="n">
        <v>2</v>
      </c>
      <c r="AV13" s="0" t="n">
        <v>3</v>
      </c>
      <c r="AW13" s="0">
        <f>N13+O13+P13</f>
        <v/>
      </c>
      <c r="AX13" s="0" t="n">
        <v>2</v>
      </c>
      <c r="AY13" s="0" t="n">
        <v>1.25</v>
      </c>
      <c r="AZ13" s="0" t="n">
        <v>0.585714285714286</v>
      </c>
      <c r="BA13" s="0" t="n">
        <v>0.5</v>
      </c>
      <c r="BB13" s="0">
        <f>ROUND((AX13/2*0.4+AY13/1.5*0.3+AZ13/1*0.2+BA13/0.5*0.1)*100,2)</f>
        <v/>
      </c>
      <c r="BC13" s="0">
        <f>ROUND(AC13+AH13+AI13+AL13+AQ13+AS13+AW13+(BB13/100*5),2)</f>
        <v/>
      </c>
      <c r="BD13" s="0">
        <f>IF(BC13&lt;=20,"极弱",IF(BC13&lt;=40,"偏弱",IF(BC13&lt;=60,"中等",IF(BC13&lt;=80,"较强","卓越"))))</f>
        <v/>
      </c>
      <c r="BH13" s="0" t="inlineStr">
        <is>
          <t>抖音/快手</t>
        </is>
      </c>
    </row>
    <row r="14">
      <c r="A14" s="0" t="inlineStr">
        <is>
          <t>13</t>
        </is>
      </c>
      <c r="B14" s="0" t="inlineStr">
        <is>
          <t>功名无望，我转行当神医</t>
        </is>
      </c>
      <c r="C14" s="0" t="inlineStr">
        <is>
          <t>file:///Users/mr.hu/Desktop/爆款排名/10.31剧本_txt/功名无望，我转行当神医.txt</t>
        </is>
      </c>
      <c r="E14" s="0" t="n">
        <v>22.56</v>
      </c>
      <c r="F14" s="0" t="n">
        <v>18</v>
      </c>
      <c r="G14" s="0">
        <f>IF(E14&lt;=8,"15–20集",IF(E14&lt;=20,"20–30集","30–40集"))</f>
        <v/>
      </c>
      <c r="H14" s="0" t="inlineStr">
        <is>
          <t>女频</t>
        </is>
      </c>
      <c r="I14" s="0" t="inlineStr">
        <is>
          <t>科幻/奇幻</t>
        </is>
      </c>
      <c r="J14" s="0" t="inlineStr">
        <is>
          <t>家庭/婚恋</t>
        </is>
      </c>
      <c r="K14" s="0" t="inlineStr">
        <is>
          <t>写实都市</t>
        </is>
      </c>
      <c r="L14" s="0" t="n">
        <v>7</v>
      </c>
      <c r="M14" s="0" t="n">
        <v>7</v>
      </c>
      <c r="N14" s="0" t="inlineStr">
        <is>
          <t>女性/下沉/45+</t>
        </is>
      </c>
      <c r="O14" s="0" t="inlineStr">
        <is>
          <t>周末黄金</t>
        </is>
      </c>
      <c r="P14" s="0" t="inlineStr">
        <is>
          <t>反转爽点</t>
        </is>
      </c>
      <c r="Q14" s="0" t="n">
        <v>3</v>
      </c>
      <c r="R14" s="0" t="n">
        <v>3</v>
      </c>
      <c r="S14" s="0" t="n">
        <v>1</v>
      </c>
      <c r="T14" s="0" t="n">
        <v>1</v>
      </c>
      <c r="U14" s="0" t="n">
        <v>1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2</v>
      </c>
      <c r="AB14" s="0" t="n">
        <v>1</v>
      </c>
      <c r="AC14" s="0">
        <f>Y14+Z14+AA14+AB14</f>
        <v/>
      </c>
      <c r="AD14" s="0" t="n">
        <v>4</v>
      </c>
      <c r="AE14" s="0" t="n">
        <v>5</v>
      </c>
      <c r="AF14" s="0" t="n">
        <v>2</v>
      </c>
      <c r="AG14" s="0" t="n">
        <v>1</v>
      </c>
      <c r="AH14" s="0">
        <f>AD14+AE14+AF14+AG14</f>
        <v/>
      </c>
      <c r="AI14" s="0">
        <f>Q14+R14+S14+T14</f>
        <v/>
      </c>
      <c r="AJ14" s="0" t="n">
        <v>2</v>
      </c>
      <c r="AL14" s="0">
        <f>AJ14+U14+V14+W14+X14</f>
        <v/>
      </c>
      <c r="AM14" s="0" t="n">
        <v>6.21</v>
      </c>
      <c r="AN14" s="0" t="n">
        <v>5.32</v>
      </c>
      <c r="AO14" s="0" t="n">
        <v>25</v>
      </c>
      <c r="AP14" s="0" t="n">
        <v>0</v>
      </c>
      <c r="AQ14" s="0">
        <f>ROUND((MIN(AM14,10)/10*8)+(MIN(AN14,10)/10*6)+(MIN(AO14,10)/10*4)+(MIN(AP14,10)/10*2),2)</f>
        <v/>
      </c>
      <c r="AS14" s="0">
        <f>L14+M14</f>
        <v/>
      </c>
      <c r="AT14" s="0" t="n">
        <v>2</v>
      </c>
      <c r="AU14" s="0" t="n">
        <v>2</v>
      </c>
      <c r="AV14" s="0" t="n">
        <v>2</v>
      </c>
      <c r="AW14" s="0">
        <f>N14+O14+P14</f>
        <v/>
      </c>
      <c r="AX14" s="0" t="n">
        <v>2</v>
      </c>
      <c r="AY14" s="0" t="n">
        <v>0.85</v>
      </c>
      <c r="AZ14" s="0" t="n">
        <v>0.925</v>
      </c>
      <c r="BA14" s="0" t="n">
        <v>0</v>
      </c>
      <c r="BB14" s="0">
        <f>ROUND((AX14/2*0.4+AY14/1.5*0.3+AZ14/1*0.2+BA14/0.5*0.1)*100,2)</f>
        <v/>
      </c>
      <c r="BC14" s="0">
        <f>ROUND(AC14+AH14+AI14+AL14+AQ14+AS14+AW14+(BB14/100*5),2)</f>
        <v/>
      </c>
      <c r="BD14" s="0">
        <f>IF(BC14&lt;=20,"极弱",IF(BC14&lt;=40,"偏弱",IF(BC14&lt;=60,"中等",IF(BC14&lt;=80,"较强","卓越"))))</f>
        <v/>
      </c>
      <c r="BH14" s="0" t="inlineStr">
        <is>
          <t>视频号/快手</t>
        </is>
      </c>
    </row>
    <row r="15">
      <c r="A15" s="0" t="inlineStr">
        <is>
          <t>14</t>
        </is>
      </c>
      <c r="B15" s="0" t="inlineStr">
        <is>
          <t>大学刚毕业，大器晚成系统来了</t>
        </is>
      </c>
      <c r="C15" s="0" t="inlineStr">
        <is>
          <t>file:///Users/mr.hu/Desktop/爆款排名/10.31剧本_txt/大学刚毕业，大器晚成系统来了.txt</t>
        </is>
      </c>
      <c r="E15" s="0" t="n">
        <v>32.11</v>
      </c>
      <c r="F15" s="0" t="n">
        <v>26</v>
      </c>
      <c r="G15" s="0">
        <f>IF(E15&lt;=8,"15–20集",IF(E15&lt;=20,"20–30集","30–40集"))</f>
        <v/>
      </c>
      <c r="H15" s="0" t="inlineStr">
        <is>
          <t>男频</t>
        </is>
      </c>
      <c r="I15" s="0" t="inlineStr">
        <is>
          <t>现代</t>
        </is>
      </c>
      <c r="J15" s="0" t="inlineStr">
        <is>
          <t>职场/商战</t>
        </is>
      </c>
      <c r="K15" s="0" t="inlineStr">
        <is>
          <t>悬疑快剪</t>
        </is>
      </c>
      <c r="L15" s="0" t="n">
        <v>5</v>
      </c>
      <c r="M15" s="0" t="n">
        <v>5</v>
      </c>
      <c r="N15" s="0" t="inlineStr">
        <is>
          <t>男性/一二线/45+</t>
        </is>
      </c>
      <c r="O15" s="0" t="inlineStr">
        <is>
          <t>周末黄金</t>
        </is>
      </c>
      <c r="P15" s="0" t="inlineStr">
        <is>
          <t>成长救赎</t>
        </is>
      </c>
      <c r="Q15" s="0" t="n">
        <v>3</v>
      </c>
      <c r="R15" s="0" t="n">
        <v>3</v>
      </c>
      <c r="S15" s="0" t="n">
        <v>2</v>
      </c>
      <c r="T15" s="0" t="n">
        <v>1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4</v>
      </c>
      <c r="AA15" s="0" t="n">
        <v>2</v>
      </c>
      <c r="AB15" s="0" t="n">
        <v>2</v>
      </c>
      <c r="AC15" s="0">
        <f>Y15+Z15+AA15+AB15</f>
        <v/>
      </c>
      <c r="AD15" s="0" t="n">
        <v>4</v>
      </c>
      <c r="AE15" s="0" t="n">
        <v>6</v>
      </c>
      <c r="AF15" s="0" t="n">
        <v>3</v>
      </c>
      <c r="AG15" s="0" t="n">
        <v>1</v>
      </c>
      <c r="AH15" s="0">
        <f>AD15+AE15+AF15+AG15</f>
        <v/>
      </c>
      <c r="AI15" s="0">
        <f>Q15+R15+S15+T15</f>
        <v/>
      </c>
      <c r="AJ15" s="0" t="n">
        <v>3</v>
      </c>
      <c r="AL15" s="0">
        <f>AJ15+U15+V15+W15+X15</f>
        <v/>
      </c>
      <c r="AM15" s="0" t="n">
        <v>1.25</v>
      </c>
      <c r="AN15" s="0" t="n">
        <v>30.83</v>
      </c>
      <c r="AO15" s="0" t="n">
        <v>0</v>
      </c>
      <c r="AP15" s="0" t="n">
        <v>12</v>
      </c>
      <c r="AQ15" s="0">
        <f>ROUND((MIN(AM15,10)/10*8)+(MIN(AN15,10)/10*6)+(MIN(AO15,10)/10*4)+(MIN(AP15,10)/10*2),2)</f>
        <v/>
      </c>
      <c r="AS15" s="0">
        <f>L15+M15</f>
        <v/>
      </c>
      <c r="AT15" s="0" t="n">
        <v>3</v>
      </c>
      <c r="AU15" s="0" t="n">
        <v>2</v>
      </c>
      <c r="AV15" s="0" t="n">
        <v>3</v>
      </c>
      <c r="AW15" s="0">
        <f>N15+O15+P15</f>
        <v/>
      </c>
      <c r="AX15" s="0" t="n">
        <v>2</v>
      </c>
      <c r="AY15" s="0" t="n">
        <v>1.05</v>
      </c>
      <c r="AZ15" s="0" t="n">
        <v>0.660714285714286</v>
      </c>
      <c r="BA15" s="0" t="n">
        <v>0.5</v>
      </c>
      <c r="BB15" s="0">
        <f>ROUND((AX15/2*0.4+AY15/1.5*0.3+AZ15/1*0.2+BA15/0.5*0.1)*100,2)</f>
        <v/>
      </c>
      <c r="BC15" s="0">
        <f>ROUND(AC15+AH15+AI15+AL15+AQ15+AS15+AW15+(BB15/100*5),2)</f>
        <v/>
      </c>
      <c r="BD15" s="0">
        <f>IF(BC15&lt;=20,"极弱",IF(BC15&lt;=40,"偏弱",IF(BC15&lt;=60,"中等",IF(BC15&lt;=80,"较强","卓越"))))</f>
        <v/>
      </c>
      <c r="BH15" s="0" t="inlineStr">
        <is>
          <t>抖音/快手</t>
        </is>
      </c>
    </row>
    <row r="16">
      <c r="A16" s="0" t="inlineStr">
        <is>
          <t>15</t>
        </is>
      </c>
      <c r="B16" s="0" t="inlineStr">
        <is>
          <t>女人报仇十年不晚之七天七夜</t>
        </is>
      </c>
      <c r="C16" s="0" t="inlineStr">
        <is>
          <t>file:///Users/mr.hu/Desktop/爆款排名/10.31剧本_txt/女人报仇十年不晚之七天七夜.txt</t>
        </is>
      </c>
      <c r="E16" s="0" t="n">
        <v>47.31</v>
      </c>
      <c r="F16" s="0" t="n">
        <v>39</v>
      </c>
      <c r="G16" s="0">
        <f>IF(E16&lt;=8,"15–20集",IF(E16&lt;=20,"20–30集","30–40集"))</f>
        <v/>
      </c>
      <c r="H16" s="0" t="inlineStr">
        <is>
          <t>男频</t>
        </is>
      </c>
      <c r="I16" s="0" t="inlineStr">
        <is>
          <t>科幻/奇幻</t>
        </is>
      </c>
      <c r="J16" s="0" t="inlineStr">
        <is>
          <t>职场/商战</t>
        </is>
      </c>
      <c r="K16" s="0" t="inlineStr">
        <is>
          <t>写实都市</t>
        </is>
      </c>
      <c r="L16" s="0" t="n">
        <v>4</v>
      </c>
      <c r="M16" s="0" t="n">
        <v>7</v>
      </c>
      <c r="N16" s="0" t="inlineStr">
        <is>
          <t>男性/下沉/45+</t>
        </is>
      </c>
      <c r="O16" s="0" t="inlineStr">
        <is>
          <t>周末黄金</t>
        </is>
      </c>
      <c r="P16" s="0" t="inlineStr">
        <is>
          <t>知识信息量</t>
        </is>
      </c>
      <c r="Q16" s="0" t="n">
        <v>3</v>
      </c>
      <c r="R16" s="0" t="n">
        <v>3</v>
      </c>
      <c r="S16" s="0" t="n">
        <v>3</v>
      </c>
      <c r="T16" s="0" t="n">
        <v>1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4</v>
      </c>
      <c r="AA16" s="0" t="n">
        <v>2</v>
      </c>
      <c r="AB16" s="0" t="n">
        <v>1</v>
      </c>
      <c r="AC16" s="0">
        <f>Y16+Z16+AA16+AB16</f>
        <v/>
      </c>
      <c r="AD16" s="0" t="n">
        <v>4</v>
      </c>
      <c r="AE16" s="0" t="n">
        <v>6</v>
      </c>
      <c r="AF16" s="0" t="n">
        <v>2</v>
      </c>
      <c r="AG16" s="0" t="n">
        <v>1</v>
      </c>
      <c r="AH16" s="0">
        <f>AD16+AE16+AF16+AG16</f>
        <v/>
      </c>
      <c r="AI16" s="0">
        <f>Q16+R16+S16+T16</f>
        <v/>
      </c>
      <c r="AJ16" s="0" t="n">
        <v>3</v>
      </c>
      <c r="AL16" s="0">
        <f>AJ16+U16+V16+W16+X16</f>
        <v/>
      </c>
      <c r="AM16" s="0" t="n">
        <v>1.69</v>
      </c>
      <c r="AN16" s="0" t="n">
        <v>13.32</v>
      </c>
      <c r="AO16" s="0" t="n">
        <v>25</v>
      </c>
      <c r="AP16" s="0" t="n">
        <v>0</v>
      </c>
      <c r="AQ16" s="0">
        <f>ROUND((MIN(AM16,10)/10*8)+(MIN(AN16,10)/10*6)+(MIN(AO16,10)/10*4)+(MIN(AP16,10)/10*2),2)</f>
        <v/>
      </c>
      <c r="AS16" s="0">
        <f>L16+M16</f>
        <v/>
      </c>
      <c r="AT16" s="0" t="n">
        <v>3</v>
      </c>
      <c r="AU16" s="0" t="n">
        <v>2</v>
      </c>
      <c r="AV16" s="0" t="n">
        <v>2</v>
      </c>
      <c r="AW16" s="0">
        <f>N16+O16+P16</f>
        <v/>
      </c>
      <c r="AX16" s="0" t="n">
        <v>2</v>
      </c>
      <c r="AY16" s="0" t="n">
        <v>1.5</v>
      </c>
      <c r="AZ16" s="0" t="n">
        <v>0.7</v>
      </c>
      <c r="BA16" s="0" t="n">
        <v>0.5</v>
      </c>
      <c r="BB16" s="0">
        <f>ROUND((AX16/2*0.4+AY16/1.5*0.3+AZ16/1*0.2+BA16/0.5*0.1)*100,2)</f>
        <v/>
      </c>
      <c r="BC16" s="0">
        <f>ROUND(AC16+AH16+AI16+AL16+AQ16+AS16+AW16+(BB16/100*5),2)</f>
        <v/>
      </c>
      <c r="BD16" s="0">
        <f>IF(BC16&lt;=20,"极弱",IF(BC16&lt;=40,"偏弱",IF(BC16&lt;=60,"中等",IF(BC16&lt;=80,"较强","卓越"))))</f>
        <v/>
      </c>
      <c r="BH16" s="0" t="inlineStr">
        <is>
          <t>视频号/快手</t>
        </is>
      </c>
    </row>
    <row r="17">
      <c r="A17" s="0" t="inlineStr">
        <is>
          <t>16</t>
        </is>
      </c>
      <c r="B17" s="0" t="inlineStr">
        <is>
          <t>嫌我交警没用？可我觉醒每日情报</t>
        </is>
      </c>
      <c r="C17" s="0" t="inlineStr">
        <is>
          <t>file:///Users/mr.hu/Desktop/爆款排名/10.31剧本_txt/嫌我交警没用？可我觉醒每日情报.txt</t>
        </is>
      </c>
      <c r="E17" s="0" t="n">
        <v>23.99</v>
      </c>
      <c r="F17" s="0" t="n">
        <v>19</v>
      </c>
      <c r="G17" s="0">
        <f>IF(E17&lt;=8,"15–20集",IF(E17&lt;=20,"20–30集","30–40集"))</f>
        <v/>
      </c>
      <c r="H17" s="0" t="inlineStr">
        <is>
          <t>男频</t>
        </is>
      </c>
      <c r="I17" s="0" t="inlineStr">
        <is>
          <t>现代</t>
        </is>
      </c>
      <c r="J17" s="0" t="inlineStr">
        <is>
          <t>职场/商战</t>
        </is>
      </c>
      <c r="K17" s="0" t="inlineStr">
        <is>
          <t>悬疑快剪</t>
        </is>
      </c>
      <c r="L17" s="0" t="n">
        <v>5</v>
      </c>
      <c r="M17" s="0" t="n">
        <v>7</v>
      </c>
      <c r="N17" s="0" t="inlineStr">
        <is>
          <t>男性/下沉/45+</t>
        </is>
      </c>
      <c r="O17" s="0" t="inlineStr">
        <is>
          <t>周末黄金</t>
        </is>
      </c>
      <c r="P17" s="0" t="inlineStr">
        <is>
          <t>成长救赎</t>
        </is>
      </c>
      <c r="Q17" s="0" t="n">
        <v>3</v>
      </c>
      <c r="R17" s="0" t="n">
        <v>3</v>
      </c>
      <c r="S17" s="0" t="n">
        <v>3</v>
      </c>
      <c r="T17" s="0" t="n">
        <v>1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4</v>
      </c>
      <c r="AA17" s="0" t="n">
        <v>2</v>
      </c>
      <c r="AB17" s="0" t="n">
        <v>1</v>
      </c>
      <c r="AC17" s="0">
        <f>Y17+Z17+AA17+AB17</f>
        <v/>
      </c>
      <c r="AD17" s="0" t="n">
        <v>5</v>
      </c>
      <c r="AE17" s="0" t="n">
        <v>4</v>
      </c>
      <c r="AF17" s="0" t="n">
        <v>3</v>
      </c>
      <c r="AG17" s="0" t="n">
        <v>1</v>
      </c>
      <c r="AH17" s="0">
        <f>AD17+AE17+AF17+AG17</f>
        <v/>
      </c>
      <c r="AI17" s="0">
        <f>Q17+R17+S17+T17</f>
        <v/>
      </c>
      <c r="AJ17" s="0" t="n">
        <v>3</v>
      </c>
      <c r="AL17" s="0">
        <f>AJ17+U17+V17+W17+X17</f>
        <v/>
      </c>
      <c r="AM17" s="0" t="n">
        <v>1.67</v>
      </c>
      <c r="AN17" s="0" t="n">
        <v>3.75</v>
      </c>
      <c r="AO17" s="0" t="n">
        <v>25</v>
      </c>
      <c r="AP17" s="0" t="n">
        <v>24</v>
      </c>
      <c r="AQ17" s="0">
        <f>ROUND((MIN(AM17,10)/10*8)+(MIN(AN17,10)/10*6)+(MIN(AO17,10)/10*4)+(MIN(AP17,10)/10*2),2)</f>
        <v/>
      </c>
      <c r="AS17" s="0">
        <f>L17+M17</f>
        <v/>
      </c>
      <c r="AT17" s="0" t="n">
        <v>3</v>
      </c>
      <c r="AU17" s="0" t="n">
        <v>2</v>
      </c>
      <c r="AV17" s="0" t="n">
        <v>3</v>
      </c>
      <c r="AW17" s="0">
        <f>N17+O17+P17</f>
        <v/>
      </c>
      <c r="AX17" s="0" t="n">
        <v>2</v>
      </c>
      <c r="AY17" s="0" t="n">
        <v>1.5</v>
      </c>
      <c r="AZ17" s="0" t="n">
        <v>0.775</v>
      </c>
      <c r="BA17" s="0" t="n">
        <v>0.5</v>
      </c>
      <c r="BB17" s="0">
        <f>ROUND((AX17/2*0.4+AY17/1.5*0.3+AZ17/1*0.2+BA17/0.5*0.1)*100,2)</f>
        <v/>
      </c>
      <c r="BC17" s="0">
        <f>ROUND(AC17+AH17+AI17+AL17+AQ17+AS17+AW17+(BB17/100*5),2)</f>
        <v/>
      </c>
      <c r="BD17" s="0">
        <f>IF(BC17&lt;=20,"极弱",IF(BC17&lt;=40,"偏弱",IF(BC17&lt;=60,"中等",IF(BC17&lt;=80,"较强","卓越"))))</f>
        <v/>
      </c>
      <c r="BH17" s="0" t="inlineStr">
        <is>
          <t>视频号/快手</t>
        </is>
      </c>
    </row>
    <row r="18">
      <c r="A18" s="0" t="inlineStr">
        <is>
          <t>17</t>
        </is>
      </c>
      <c r="B18" s="0" t="inlineStr">
        <is>
          <t>子承父业：顶级豪门女主人叫我哥</t>
        </is>
      </c>
      <c r="C18" s="0" t="inlineStr">
        <is>
          <t>file:///Users/mr.hu/Desktop/爆款排名/10.31剧本_txt/子承父业：顶级豪门女主人叫我哥.txt</t>
        </is>
      </c>
      <c r="E18" s="0" t="n">
        <v>19.64</v>
      </c>
      <c r="F18" s="0" t="n">
        <v>16</v>
      </c>
      <c r="G18" s="0">
        <f>IF(E18&lt;=8,"15–20集",IF(E18&lt;=20,"20–30集","30–40集"))</f>
        <v/>
      </c>
      <c r="H18" s="0" t="inlineStr">
        <is>
          <t>男频</t>
        </is>
      </c>
      <c r="I18" s="0" t="inlineStr">
        <is>
          <t>现代</t>
        </is>
      </c>
      <c r="J18" s="0" t="inlineStr">
        <is>
          <t>职场/商战</t>
        </is>
      </c>
      <c r="K18" s="0" t="inlineStr">
        <is>
          <t>写实都市</t>
        </is>
      </c>
      <c r="L18" s="0" t="n">
        <v>5</v>
      </c>
      <c r="M18" s="0" t="n">
        <v>5</v>
      </c>
      <c r="N18" s="0" t="inlineStr">
        <is>
          <t>男性/一二线/45+</t>
        </is>
      </c>
      <c r="O18" s="0" t="inlineStr">
        <is>
          <t>节假日前后</t>
        </is>
      </c>
      <c r="P18" s="0" t="inlineStr">
        <is>
          <t>知识信息量</t>
        </is>
      </c>
      <c r="Q18" s="0" t="n">
        <v>3</v>
      </c>
      <c r="R18" s="0" t="n">
        <v>2</v>
      </c>
      <c r="S18" s="0" t="n">
        <v>3</v>
      </c>
      <c r="T18" s="0" t="n">
        <v>0</v>
      </c>
      <c r="U18" s="0" t="n">
        <v>1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4</v>
      </c>
      <c r="AA18" s="0" t="n">
        <v>2</v>
      </c>
      <c r="AB18" s="0" t="n">
        <v>2</v>
      </c>
      <c r="AC18" s="0">
        <f>Y18+Z18+AA18+AB18</f>
        <v/>
      </c>
      <c r="AD18" s="0" t="n">
        <v>5</v>
      </c>
      <c r="AE18" s="0" t="n">
        <v>3</v>
      </c>
      <c r="AF18" s="0" t="n">
        <v>2</v>
      </c>
      <c r="AG18" s="0" t="n">
        <v>1</v>
      </c>
      <c r="AH18" s="0">
        <f>AD18+AE18+AF18+AG18</f>
        <v/>
      </c>
      <c r="AI18" s="0">
        <f>Q18+R18+S18+T18</f>
        <v/>
      </c>
      <c r="AJ18" s="0" t="n">
        <v>3</v>
      </c>
      <c r="AL18" s="0">
        <f>AJ18+U18+V18+W18+X18</f>
        <v/>
      </c>
      <c r="AM18" s="0" t="n">
        <v>0</v>
      </c>
      <c r="AN18" s="0" t="n">
        <v>4.58</v>
      </c>
      <c r="AO18" s="0" t="n">
        <v>0</v>
      </c>
      <c r="AP18" s="0" t="n">
        <v>12</v>
      </c>
      <c r="AQ18" s="0">
        <f>ROUND((MIN(AM18,10)/10*8)+(MIN(AN18,10)/10*6)+(MIN(AO18,10)/10*4)+(MIN(AP18,10)/10*2),2)</f>
        <v/>
      </c>
      <c r="AS18" s="0">
        <f>L18+M18</f>
        <v/>
      </c>
      <c r="AT18" s="0" t="n">
        <v>3</v>
      </c>
      <c r="AU18" s="0" t="n">
        <v>2</v>
      </c>
      <c r="AV18" s="0" t="n">
        <v>2</v>
      </c>
      <c r="AW18" s="0">
        <f>N18+O18+P18</f>
        <v/>
      </c>
      <c r="AX18" s="0" t="n">
        <v>2</v>
      </c>
      <c r="AY18" s="0" t="n">
        <v>0.5</v>
      </c>
      <c r="AZ18" s="0" t="n">
        <v>0.660714285714286</v>
      </c>
      <c r="BA18" s="0" t="n">
        <v>0.5</v>
      </c>
      <c r="BB18" s="0">
        <f>ROUND((AX18/2*0.4+AY18/1.5*0.3+AZ18/1*0.2+BA18/0.5*0.1)*100,2)</f>
        <v/>
      </c>
      <c r="BC18" s="0">
        <f>ROUND(AC18+AH18+AI18+AL18+AQ18+AS18+AW18+(BB18/100*5),2)</f>
        <v/>
      </c>
      <c r="BD18" s="0">
        <f>IF(BC18&lt;=20,"极弱",IF(BC18&lt;=40,"偏弱",IF(BC18&lt;=60,"中等",IF(BC18&lt;=80,"较强","卓越"))))</f>
        <v/>
      </c>
      <c r="BH18" s="0" t="inlineStr">
        <is>
          <t>抖音/快手</t>
        </is>
      </c>
    </row>
    <row r="19">
      <c r="A19" s="0" t="inlineStr">
        <is>
          <t>18</t>
        </is>
      </c>
      <c r="B19" s="0" t="inlineStr">
        <is>
          <t>带校花回家后，全村大佬藏不住了</t>
        </is>
      </c>
      <c r="C19" s="0" t="inlineStr">
        <is>
          <t>file:///Users/mr.hu/Desktop/爆款排名/10.31剧本_txt/带校花回家后，全村大佬藏不住了.txt</t>
        </is>
      </c>
      <c r="E19" s="0" t="n">
        <v>20.15</v>
      </c>
      <c r="F19" s="0" t="n">
        <v>16</v>
      </c>
      <c r="G19" s="0">
        <f>IF(E19&lt;=8,"15–20集",IF(E19&lt;=20,"20–30集","30–40集"))</f>
        <v/>
      </c>
      <c r="H19" s="0" t="inlineStr">
        <is>
          <t>女频</t>
        </is>
      </c>
      <c r="I19" s="0" t="inlineStr">
        <is>
          <t>现代</t>
        </is>
      </c>
      <c r="J19" s="0" t="inlineStr">
        <is>
          <t>职场/商战</t>
        </is>
      </c>
      <c r="K19" s="0" t="inlineStr">
        <is>
          <t>写实都市</t>
        </is>
      </c>
      <c r="L19" s="0" t="n">
        <v>8</v>
      </c>
      <c r="M19" s="0" t="n">
        <v>5</v>
      </c>
      <c r="N19" s="0" t="inlineStr">
        <is>
          <t>女性/下沉/45+</t>
        </is>
      </c>
      <c r="O19" s="0" t="inlineStr">
        <is>
          <t>周末黄金</t>
        </is>
      </c>
      <c r="P19" s="0" t="inlineStr">
        <is>
          <t>反转爽点</t>
        </is>
      </c>
      <c r="Q19" s="0" t="n">
        <v>3</v>
      </c>
      <c r="R19" s="0" t="n">
        <v>3</v>
      </c>
      <c r="S19" s="0" t="n">
        <v>1</v>
      </c>
      <c r="T19" s="0" t="n">
        <v>1</v>
      </c>
      <c r="U19" s="0" t="n">
        <v>2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4</v>
      </c>
      <c r="AA19" s="0" t="n">
        <v>2</v>
      </c>
      <c r="AB19" s="0" t="n">
        <v>2</v>
      </c>
      <c r="AC19" s="0">
        <f>Y19+Z19+AA19+AB19</f>
        <v/>
      </c>
      <c r="AD19" s="0" t="n">
        <v>3</v>
      </c>
      <c r="AE19" s="0" t="n">
        <v>4</v>
      </c>
      <c r="AF19" s="0" t="n">
        <v>2</v>
      </c>
      <c r="AG19" s="0" t="n">
        <v>0</v>
      </c>
      <c r="AH19" s="0">
        <f>AD19+AE19+AF19+AG19</f>
        <v/>
      </c>
      <c r="AI19" s="0">
        <f>Q19+R19+S19+T19</f>
        <v/>
      </c>
      <c r="AJ19" s="0" t="n">
        <v>2</v>
      </c>
      <c r="AL19" s="0">
        <f>AJ19+U19+V19+W19+X19</f>
        <v/>
      </c>
      <c r="AM19" s="0" t="n">
        <v>2.98</v>
      </c>
      <c r="AN19" s="0" t="n">
        <v>4.47</v>
      </c>
      <c r="AO19" s="0" t="n">
        <v>25</v>
      </c>
      <c r="AP19" s="0" t="n">
        <v>0</v>
      </c>
      <c r="AQ19" s="0">
        <f>ROUND((MIN(AM19,10)/10*8)+(MIN(AN19,10)/10*6)+(MIN(AO19,10)/10*4)+(MIN(AP19,10)/10*2),2)</f>
        <v/>
      </c>
      <c r="AS19" s="0">
        <f>L19+M19</f>
        <v/>
      </c>
      <c r="AT19" s="0" t="n">
        <v>3</v>
      </c>
      <c r="AU19" s="0" t="n">
        <v>2</v>
      </c>
      <c r="AV19" s="0" t="n">
        <v>2</v>
      </c>
      <c r="AW19" s="0">
        <f>N19+O19+P19</f>
        <v/>
      </c>
      <c r="AX19" s="0" t="n">
        <v>2</v>
      </c>
      <c r="AY19" s="0" t="n">
        <v>0.7</v>
      </c>
      <c r="AZ19" s="0" t="n">
        <v>0.885714285714286</v>
      </c>
      <c r="BA19" s="0" t="n">
        <v>0.5</v>
      </c>
      <c r="BB19" s="0">
        <f>ROUND((AX19/2*0.4+AY19/1.5*0.3+AZ19/1*0.2+BA19/0.5*0.1)*100,2)</f>
        <v/>
      </c>
      <c r="BC19" s="0">
        <f>ROUND(AC19+AH19+AI19+AL19+AQ19+AS19+AW19+(BB19/100*5),2)</f>
        <v/>
      </c>
      <c r="BD19" s="0">
        <f>IF(BC19&lt;=20,"极弱",IF(BC19&lt;=40,"偏弱",IF(BC19&lt;=60,"中等",IF(BC19&lt;=80,"较强","卓越"))))</f>
        <v/>
      </c>
      <c r="BH19" s="0" t="inlineStr">
        <is>
          <t>视频号/快手</t>
        </is>
      </c>
    </row>
    <row r="20">
      <c r="A20" s="0" t="inlineStr">
        <is>
          <t>19</t>
        </is>
      </c>
      <c r="B20" s="0" t="inlineStr">
        <is>
          <t>开局一条船，装备全靠捞</t>
        </is>
      </c>
      <c r="C20" s="0" t="inlineStr">
        <is>
          <t>file:///Users/mr.hu/Desktop/爆款排名/10.31剧本_txt/开局一条船，装备全靠捞.txt</t>
        </is>
      </c>
      <c r="E20" s="0" t="n">
        <v>24</v>
      </c>
      <c r="F20" s="0" t="n">
        <v>20</v>
      </c>
      <c r="G20" s="0">
        <f>IF(E20&lt;=8,"15–20集",IF(E20&lt;=20,"20–30集","30–40集"))</f>
        <v/>
      </c>
      <c r="H20" s="0" t="inlineStr">
        <is>
          <t>男频</t>
        </is>
      </c>
      <c r="I20" s="0" t="inlineStr">
        <is>
          <t>现代</t>
        </is>
      </c>
      <c r="J20" s="0" t="inlineStr">
        <is>
          <t>职场/商战</t>
        </is>
      </c>
      <c r="K20" s="0" t="inlineStr">
        <is>
          <t>写实都市</t>
        </is>
      </c>
      <c r="L20" s="0" t="n">
        <v>5</v>
      </c>
      <c r="M20" s="0" t="n">
        <v>4</v>
      </c>
      <c r="N20" s="0" t="inlineStr">
        <is>
          <t>男性/下沉/18–35</t>
        </is>
      </c>
      <c r="O20" s="0" t="inlineStr">
        <is>
          <t>周末黄金</t>
        </is>
      </c>
      <c r="P20" s="0" t="inlineStr">
        <is>
          <t>反转爽点</t>
        </is>
      </c>
      <c r="Q20" s="0" t="n">
        <v>3</v>
      </c>
      <c r="R20" s="0" t="n">
        <v>3</v>
      </c>
      <c r="S20" s="0" t="n">
        <v>3</v>
      </c>
      <c r="T20" s="0" t="n">
        <v>1</v>
      </c>
      <c r="U20" s="0" t="n">
        <v>2</v>
      </c>
      <c r="V20" s="0" t="n">
        <v>2</v>
      </c>
      <c r="W20" s="0" t="n">
        <v>0</v>
      </c>
      <c r="X20" s="0" t="n">
        <v>1</v>
      </c>
      <c r="Y20" s="0" t="n">
        <v>3</v>
      </c>
      <c r="Z20" s="0" t="n">
        <v>4</v>
      </c>
      <c r="AA20" s="0" t="n">
        <v>2</v>
      </c>
      <c r="AB20" s="0" t="n">
        <v>2</v>
      </c>
      <c r="AC20" s="0">
        <f>Y20+Z20+AA20+AB20</f>
        <v/>
      </c>
      <c r="AD20" s="0" t="n">
        <v>5</v>
      </c>
      <c r="AE20" s="0" t="n">
        <v>5</v>
      </c>
      <c r="AF20" s="0" t="n">
        <v>2</v>
      </c>
      <c r="AG20" s="0" t="n">
        <v>0</v>
      </c>
      <c r="AH20" s="0">
        <f>AD20+AE20+AF20+AG20</f>
        <v/>
      </c>
      <c r="AI20" s="0">
        <f>Q20+R20+S20+T20</f>
        <v/>
      </c>
      <c r="AJ20" s="0" t="n">
        <v>3</v>
      </c>
      <c r="AL20" s="0">
        <f>AJ20+U20+V20+W20+X20</f>
        <v/>
      </c>
      <c r="AM20" s="0" t="n">
        <v>5</v>
      </c>
      <c r="AN20" s="0" t="n">
        <v>6.25</v>
      </c>
      <c r="AO20" s="0" t="n">
        <v>0</v>
      </c>
      <c r="AP20" s="0" t="n">
        <v>24</v>
      </c>
      <c r="AQ20" s="0">
        <f>ROUND((MIN(AM20,10)/10*8)+(MIN(AN20,10)/10*6)+(MIN(AO20,10)/10*4)+(MIN(AP20,10)/10*2),2)</f>
        <v/>
      </c>
      <c r="AS20" s="0">
        <f>L20+M20</f>
        <v/>
      </c>
      <c r="AT20" s="0" t="n">
        <v>3</v>
      </c>
      <c r="AU20" s="0" t="n">
        <v>2</v>
      </c>
      <c r="AV20" s="0" t="n">
        <v>3</v>
      </c>
      <c r="AW20" s="0">
        <f>N20+O20+P20</f>
        <v/>
      </c>
      <c r="AX20" s="0" t="n">
        <v>2</v>
      </c>
      <c r="AY20" s="0" t="n">
        <v>1.3</v>
      </c>
      <c r="AZ20" s="0" t="n">
        <v>0.603571428571429</v>
      </c>
      <c r="BA20" s="0" t="n">
        <v>0.5</v>
      </c>
      <c r="BB20" s="0">
        <f>ROUND((AX20/2*0.4+AY20/1.5*0.3+AZ20/1*0.2+BA20/0.5*0.1)*100,2)</f>
        <v/>
      </c>
      <c r="BC20" s="0">
        <f>ROUND(AC20+AH20+AI20+AL20+AQ20+AS20+AW20+(BB20/100*5),2)</f>
        <v/>
      </c>
      <c r="BD20" s="0">
        <f>IF(BC20&lt;=20,"极弱",IF(BC20&lt;=40,"偏弱",IF(BC20&lt;=60,"中等",IF(BC20&lt;=80,"较强","卓越"))))</f>
        <v/>
      </c>
      <c r="BH20" s="0" t="inlineStr">
        <is>
          <t>视频号/快手</t>
        </is>
      </c>
    </row>
    <row r="21">
      <c r="A21" s="0" t="inlineStr">
        <is>
          <t>20</t>
        </is>
      </c>
      <c r="B21" s="0" t="inlineStr">
        <is>
          <t>开局傻子，白捡个媳妇</t>
        </is>
      </c>
      <c r="C21" s="0" t="inlineStr">
        <is>
          <t>file:///Users/mr.hu/Desktop/爆款排名/10.31剧本_txt/开局傻子，白捡个媳妇.txt</t>
        </is>
      </c>
      <c r="E21" s="0" t="n">
        <v>21.73</v>
      </c>
      <c r="F21" s="0" t="n">
        <v>18</v>
      </c>
      <c r="G21" s="0">
        <f>IF(E21&lt;=8,"15–20集",IF(E21&lt;=20,"20–30集","30–40集"))</f>
        <v/>
      </c>
      <c r="H21" s="0" t="inlineStr">
        <is>
          <t>男频</t>
        </is>
      </c>
      <c r="I21" s="0" t="inlineStr">
        <is>
          <t>科幻/奇幻</t>
        </is>
      </c>
      <c r="J21" s="0" t="inlineStr">
        <is>
          <t>家庭/婚恋</t>
        </is>
      </c>
      <c r="K21" s="0" t="inlineStr">
        <is>
          <t>商业爽剧</t>
        </is>
      </c>
      <c r="L21" s="0" t="n">
        <v>8</v>
      </c>
      <c r="M21" s="0" t="n">
        <v>7</v>
      </c>
      <c r="N21" s="0" t="inlineStr">
        <is>
          <t>男性/下沉/45+</t>
        </is>
      </c>
      <c r="O21" s="0" t="inlineStr">
        <is>
          <t>周末黄金</t>
        </is>
      </c>
      <c r="P21" s="0" t="inlineStr">
        <is>
          <t>反转爽点</t>
        </is>
      </c>
      <c r="Q21" s="0" t="n">
        <v>3</v>
      </c>
      <c r="R21" s="0" t="n">
        <v>3</v>
      </c>
      <c r="S21" s="0" t="n">
        <v>1</v>
      </c>
      <c r="T21" s="0" t="n">
        <v>1</v>
      </c>
      <c r="U21" s="0" t="n">
        <v>1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0</v>
      </c>
      <c r="AB21" s="0" t="n">
        <v>2</v>
      </c>
      <c r="AC21" s="0">
        <f>Y21+Z21+AA21+AB21</f>
        <v/>
      </c>
      <c r="AD21" s="0" t="n">
        <v>2</v>
      </c>
      <c r="AE21" s="0" t="n">
        <v>5</v>
      </c>
      <c r="AF21" s="0" t="n">
        <v>2</v>
      </c>
      <c r="AG21" s="0" t="n">
        <v>1</v>
      </c>
      <c r="AH21" s="0">
        <f>AD21+AE21+AF21+AG21</f>
        <v/>
      </c>
      <c r="AI21" s="0">
        <f>Q21+R21+S21+T21</f>
        <v/>
      </c>
      <c r="AJ21" s="0" t="n">
        <v>2</v>
      </c>
      <c r="AL21" s="0">
        <f>AJ21+U21+V21+W21+X21</f>
        <v/>
      </c>
      <c r="AM21" s="0" t="n">
        <v>4.6</v>
      </c>
      <c r="AN21" s="0" t="n">
        <v>6.9</v>
      </c>
      <c r="AO21" s="0" t="n">
        <v>0</v>
      </c>
      <c r="AP21" s="0" t="n">
        <v>12</v>
      </c>
      <c r="AQ21" s="0">
        <f>ROUND((MIN(AM21,10)/10*8)+(MIN(AN21,10)/10*6)+(MIN(AO21,10)/10*4)+(MIN(AP21,10)/10*2),2)</f>
        <v/>
      </c>
      <c r="AS21" s="0">
        <f>L21+M21</f>
        <v/>
      </c>
      <c r="AT21" s="0" t="n">
        <v>3</v>
      </c>
      <c r="AU21" s="0" t="n">
        <v>2</v>
      </c>
      <c r="AV21" s="0" t="n">
        <v>2</v>
      </c>
      <c r="AW21" s="0">
        <f>N21+O21+P21</f>
        <v/>
      </c>
      <c r="AX21" s="0" t="n">
        <v>2</v>
      </c>
      <c r="AY21" s="0" t="n">
        <v>1.5</v>
      </c>
      <c r="AZ21" s="0" t="n">
        <v>1</v>
      </c>
      <c r="BA21" s="0" t="n">
        <v>0.3</v>
      </c>
      <c r="BB21" s="0">
        <f>ROUND((AX21/2*0.4+AY21/1.5*0.3+AZ21/1*0.2+BA21/0.5*0.1)*100,2)</f>
        <v/>
      </c>
      <c r="BC21" s="0">
        <f>ROUND(AC21+AH21+AI21+AL21+AQ21+AS21+AW21+(BB21/100*5),2)</f>
        <v/>
      </c>
      <c r="BD21" s="0">
        <f>IF(BC21&lt;=20,"极弱",IF(BC21&lt;=40,"偏弱",IF(BC21&lt;=60,"中等",IF(BC21&lt;=80,"较强","卓越"))))</f>
        <v/>
      </c>
      <c r="BH21" s="0" t="inlineStr">
        <is>
          <t>视频号/快手</t>
        </is>
      </c>
    </row>
    <row r="22">
      <c r="A22" s="0" t="inlineStr">
        <is>
          <t>21</t>
        </is>
      </c>
      <c r="B22" s="0" t="inlineStr">
        <is>
          <t>我是正经读书人！</t>
        </is>
      </c>
      <c r="C22" s="0" t="inlineStr">
        <is>
          <t>file:///Users/mr.hu/Desktop/爆款排名/10.31剧本_txt/我是正经读书人！.txt</t>
        </is>
      </c>
      <c r="E22" s="0" t="n">
        <v>24.45</v>
      </c>
      <c r="F22" s="0" t="n">
        <v>20</v>
      </c>
      <c r="G22" s="0">
        <f>IF(E22&lt;=8,"15–20集",IF(E22&lt;=20,"20–30集","30–40集"))</f>
        <v/>
      </c>
      <c r="H22" s="0" t="inlineStr">
        <is>
          <t>男频</t>
        </is>
      </c>
      <c r="I22" s="0" t="inlineStr">
        <is>
          <t>科幻/奇幻</t>
        </is>
      </c>
      <c r="J22" s="0" t="inlineStr">
        <is>
          <t>玄幻修仙</t>
        </is>
      </c>
      <c r="K22" s="0" t="inlineStr">
        <is>
          <t>武侠动作</t>
        </is>
      </c>
      <c r="L22" s="0" t="n">
        <v>5</v>
      </c>
      <c r="M22" s="0" t="n">
        <v>7</v>
      </c>
      <c r="N22" s="0" t="inlineStr">
        <is>
          <t>男性/一二线/18–35</t>
        </is>
      </c>
      <c r="O22" s="0" t="inlineStr">
        <is>
          <t>周末黄金</t>
        </is>
      </c>
      <c r="P22" s="0" t="inlineStr">
        <is>
          <t>知识信息量</t>
        </is>
      </c>
      <c r="Q22" s="0" t="n">
        <v>3</v>
      </c>
      <c r="R22" s="0" t="n">
        <v>3</v>
      </c>
      <c r="S22" s="0" t="n">
        <v>1</v>
      </c>
      <c r="T22" s="0" t="n">
        <v>0</v>
      </c>
      <c r="U22" s="0" t="n">
        <v>1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4</v>
      </c>
      <c r="AA22" s="0" t="n">
        <v>2</v>
      </c>
      <c r="AB22" s="0" t="n">
        <v>2</v>
      </c>
      <c r="AC22" s="0">
        <f>Y22+Z22+AA22+AB22</f>
        <v/>
      </c>
      <c r="AD22" s="0" t="n">
        <v>1</v>
      </c>
      <c r="AE22" s="0" t="n">
        <v>5</v>
      </c>
      <c r="AF22" s="0" t="n">
        <v>2</v>
      </c>
      <c r="AG22" s="0" t="n">
        <v>0</v>
      </c>
      <c r="AH22" s="0">
        <f>AD22+AE22+AF22+AG22</f>
        <v/>
      </c>
      <c r="AI22" s="0">
        <f>Q22+R22+S22+T22</f>
        <v/>
      </c>
      <c r="AJ22" s="0" t="n">
        <v>3</v>
      </c>
      <c r="AL22" s="0">
        <f>AJ22+U22+V22+W22+X22</f>
        <v/>
      </c>
      <c r="AM22" s="0" t="n">
        <v>2.45</v>
      </c>
      <c r="AN22" s="0" t="n">
        <v>6.13</v>
      </c>
      <c r="AO22" s="0" t="n">
        <v>0</v>
      </c>
      <c r="AP22" s="0" t="n">
        <v>12</v>
      </c>
      <c r="AQ22" s="0">
        <f>ROUND((MIN(AM22,10)/10*8)+(MIN(AN22,10)/10*6)+(MIN(AO22,10)/10*4)+(MIN(AP22,10)/10*2),2)</f>
        <v/>
      </c>
      <c r="AS22" s="0">
        <f>L22+M22</f>
        <v/>
      </c>
      <c r="AT22" s="0" t="n">
        <v>3</v>
      </c>
      <c r="AU22" s="0" t="n">
        <v>2</v>
      </c>
      <c r="AV22" s="0" t="n">
        <v>2</v>
      </c>
      <c r="AW22" s="0">
        <f>N22+O22+P22</f>
        <v/>
      </c>
      <c r="AX22" s="0" t="n">
        <v>2</v>
      </c>
      <c r="AY22" s="0" t="n">
        <v>1.15</v>
      </c>
      <c r="AZ22" s="0" t="n">
        <v>0.775</v>
      </c>
      <c r="BA22" s="0" t="n">
        <v>0.5</v>
      </c>
      <c r="BB22" s="0">
        <f>ROUND((AX22/2*0.4+AY22/1.5*0.3+AZ22/1*0.2+BA22/0.5*0.1)*100,2)</f>
        <v/>
      </c>
      <c r="BC22" s="0">
        <f>ROUND(AC22+AH22+AI22+AL22+AQ22+AS22+AW22+(BB22/100*5),2)</f>
        <v/>
      </c>
      <c r="BD22" s="0">
        <f>IF(BC22&lt;=20,"极弱",IF(BC22&lt;=40,"偏弱",IF(BC22&lt;=60,"中等",IF(BC22&lt;=80,"较强","卓越"))))</f>
        <v/>
      </c>
      <c r="BH22" s="0" t="inlineStr">
        <is>
          <t>抖音/快手</t>
        </is>
      </c>
    </row>
    <row r="23">
      <c r="A23" s="0" t="inlineStr">
        <is>
          <t>22</t>
        </is>
      </c>
      <c r="B23" s="0" t="inlineStr">
        <is>
          <t>我有海蛇分身，却成捕鱼达人？</t>
        </is>
      </c>
      <c r="C23" s="0" t="inlineStr">
        <is>
          <t>file:///Users/mr.hu/Desktop/爆款排名/10.31剧本_txt/我有海蛇分身，却成捕鱼达人？.txt</t>
        </is>
      </c>
      <c r="E23" s="0" t="n">
        <v>20.37</v>
      </c>
      <c r="F23" s="0" t="n">
        <v>16</v>
      </c>
      <c r="G23" s="0">
        <f>IF(E23&lt;=8,"15–20集",IF(E23&lt;=20,"20–30集","30–40集"))</f>
        <v/>
      </c>
      <c r="H23" s="0" t="inlineStr">
        <is>
          <t>男频</t>
        </is>
      </c>
      <c r="I23" s="0" t="inlineStr">
        <is>
          <t>现代</t>
        </is>
      </c>
      <c r="J23" s="0" t="inlineStr">
        <is>
          <t>职场/商战</t>
        </is>
      </c>
      <c r="K23" s="0" t="inlineStr">
        <is>
          <t>写实都市</t>
        </is>
      </c>
      <c r="L23" s="0" t="n">
        <v>5</v>
      </c>
      <c r="M23" s="0" t="n">
        <v>7</v>
      </c>
      <c r="N23" s="0" t="inlineStr">
        <is>
          <t>男性/下沉/18–35</t>
        </is>
      </c>
      <c r="O23" s="0" t="inlineStr">
        <is>
          <t>节假日前后</t>
        </is>
      </c>
      <c r="P23" s="0" t="inlineStr">
        <is>
          <t>知识信息量</t>
        </is>
      </c>
      <c r="Q23" s="0" t="n">
        <v>3</v>
      </c>
      <c r="R23" s="0" t="n">
        <v>3</v>
      </c>
      <c r="S23" s="0" t="n">
        <v>2</v>
      </c>
      <c r="T23" s="0" t="n">
        <v>1</v>
      </c>
      <c r="U23" s="0" t="n">
        <v>1</v>
      </c>
      <c r="V23" s="0" t="n">
        <v>2</v>
      </c>
      <c r="W23" s="0" t="n">
        <v>0</v>
      </c>
      <c r="X23" s="0" t="n">
        <v>1</v>
      </c>
      <c r="Y23" s="0" t="n">
        <v>0</v>
      </c>
      <c r="Z23" s="0" t="n">
        <v>4</v>
      </c>
      <c r="AA23" s="0" t="n">
        <v>2</v>
      </c>
      <c r="AB23" s="0" t="n">
        <v>2</v>
      </c>
      <c r="AC23" s="0">
        <f>Y23+Z23+AA23+AB23</f>
        <v/>
      </c>
      <c r="AD23" s="0" t="n">
        <v>1</v>
      </c>
      <c r="AE23" s="0" t="n">
        <v>5</v>
      </c>
      <c r="AF23" s="0" t="n">
        <v>2</v>
      </c>
      <c r="AG23" s="0" t="n">
        <v>1</v>
      </c>
      <c r="AH23" s="0">
        <f>AD23+AE23+AF23+AG23</f>
        <v/>
      </c>
      <c r="AI23" s="0">
        <f>Q23+R23+S23+T23</f>
        <v/>
      </c>
      <c r="AJ23" s="0" t="n">
        <v>3</v>
      </c>
      <c r="AL23" s="0">
        <f>AJ23+U23+V23+W23+X23</f>
        <v/>
      </c>
      <c r="AM23" s="0" t="n">
        <v>6.87</v>
      </c>
      <c r="AN23" s="0" t="n">
        <v>1.47</v>
      </c>
      <c r="AO23" s="0" t="n">
        <v>0</v>
      </c>
      <c r="AP23" s="0" t="n">
        <v>0</v>
      </c>
      <c r="AQ23" s="0">
        <f>ROUND((MIN(AM23,10)/10*8)+(MIN(AN23,10)/10*6)+(MIN(AO23,10)/10*4)+(MIN(AP23,10)/10*2),2)</f>
        <v/>
      </c>
      <c r="AS23" s="0">
        <f>L23+M23</f>
        <v/>
      </c>
      <c r="AT23" s="0" t="n">
        <v>2</v>
      </c>
      <c r="AU23" s="0" t="n">
        <v>2</v>
      </c>
      <c r="AV23" s="0" t="n">
        <v>2</v>
      </c>
      <c r="AW23" s="0">
        <f>N23+O23+P23</f>
        <v/>
      </c>
      <c r="AX23" s="0" t="n">
        <v>2</v>
      </c>
      <c r="AY23" s="0" t="n">
        <v>0.5</v>
      </c>
      <c r="AZ23" s="0" t="n">
        <v>0.775</v>
      </c>
      <c r="BA23" s="0" t="n">
        <v>0.5</v>
      </c>
      <c r="BB23" s="0">
        <f>ROUND((AX23/2*0.4+AY23/1.5*0.3+AZ23/1*0.2+BA23/0.5*0.1)*100,2)</f>
        <v/>
      </c>
      <c r="BC23" s="0">
        <f>ROUND(AC23+AH23+AI23+AL23+AQ23+AS23+AW23+(BB23/100*5),2)</f>
        <v/>
      </c>
      <c r="BD23" s="0">
        <f>IF(BC23&lt;=20,"极弱",IF(BC23&lt;=40,"偏弱",IF(BC23&lt;=60,"中等",IF(BC23&lt;=80,"较强","卓越"))))</f>
        <v/>
      </c>
      <c r="BH23" s="0" t="inlineStr">
        <is>
          <t>视频号/快手</t>
        </is>
      </c>
    </row>
    <row r="24">
      <c r="A24" s="0" t="inlineStr">
        <is>
          <t>23</t>
        </is>
      </c>
      <c r="B24" s="0" t="inlineStr">
        <is>
          <t>我的26岁女上司</t>
        </is>
      </c>
      <c r="C24" s="0" t="inlineStr">
        <is>
          <t>file:///Users/mr.hu/Desktop/爆款排名/10.31剧本_txt/我的26岁女上司.txt</t>
        </is>
      </c>
      <c r="E24" s="0" t="n">
        <v>22.94</v>
      </c>
      <c r="F24" s="0" t="n">
        <v>19</v>
      </c>
      <c r="G24" s="0">
        <f>IF(E24&lt;=8,"15–20集",IF(E24&lt;=20,"20–30集","30–40集"))</f>
        <v/>
      </c>
      <c r="H24" s="0" t="inlineStr">
        <is>
          <t>男频</t>
        </is>
      </c>
      <c r="I24" s="0" t="inlineStr">
        <is>
          <t>现代</t>
        </is>
      </c>
      <c r="J24" s="0" t="inlineStr">
        <is>
          <t>职场/商战</t>
        </is>
      </c>
      <c r="K24" s="0" t="inlineStr">
        <is>
          <t>写实都市</t>
        </is>
      </c>
      <c r="L24" s="0" t="n">
        <v>6</v>
      </c>
      <c r="M24" s="0" t="n">
        <v>5</v>
      </c>
      <c r="N24" s="0" t="inlineStr">
        <is>
          <t>男性/一二线/18–35</t>
        </is>
      </c>
      <c r="O24" s="0" t="inlineStr">
        <is>
          <t>节假日前后</t>
        </is>
      </c>
      <c r="P24" s="0" t="inlineStr">
        <is>
          <t>反转爽点</t>
        </is>
      </c>
      <c r="Q24" s="0" t="n">
        <v>3</v>
      </c>
      <c r="R24" s="0" t="n">
        <v>3</v>
      </c>
      <c r="S24" s="0" t="n">
        <v>2</v>
      </c>
      <c r="T24" s="0" t="n">
        <v>1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4</v>
      </c>
      <c r="AA24" s="0" t="n">
        <v>2</v>
      </c>
      <c r="AB24" s="0" t="n">
        <v>2</v>
      </c>
      <c r="AC24" s="0">
        <f>Y24+Z24+AA24+AB24</f>
        <v/>
      </c>
      <c r="AD24" s="0" t="n">
        <v>2</v>
      </c>
      <c r="AE24" s="0" t="n">
        <v>4</v>
      </c>
      <c r="AF24" s="0" t="n">
        <v>3</v>
      </c>
      <c r="AG24" s="0" t="n">
        <v>0</v>
      </c>
      <c r="AH24" s="0">
        <f>AD24+AE24+AF24+AG24</f>
        <v/>
      </c>
      <c r="AI24" s="0">
        <f>Q24+R24+S24+T24</f>
        <v/>
      </c>
      <c r="AJ24" s="0" t="n">
        <v>3</v>
      </c>
      <c r="AL24" s="0">
        <f>AJ24+U24+V24+W24+X24</f>
        <v/>
      </c>
      <c r="AM24" s="0" t="n">
        <v>1.74</v>
      </c>
      <c r="AN24" s="0" t="n">
        <v>2.62</v>
      </c>
      <c r="AO24" s="0" t="n">
        <v>0</v>
      </c>
      <c r="AP24" s="0" t="n">
        <v>36</v>
      </c>
      <c r="AQ24" s="0">
        <f>ROUND((MIN(AM24,10)/10*8)+(MIN(AN24,10)/10*6)+(MIN(AO24,10)/10*4)+(MIN(AP24,10)/10*2),2)</f>
        <v/>
      </c>
      <c r="AS24" s="0">
        <f>L24+M24</f>
        <v/>
      </c>
      <c r="AT24" s="0" t="n">
        <v>3</v>
      </c>
      <c r="AU24" s="0" t="n">
        <v>2</v>
      </c>
      <c r="AV24" s="0" t="n">
        <v>2</v>
      </c>
      <c r="AW24" s="0">
        <f>N24+O24+P24</f>
        <v/>
      </c>
      <c r="AX24" s="0" t="n">
        <v>2</v>
      </c>
      <c r="AY24" s="0" t="n">
        <v>0.5</v>
      </c>
      <c r="AZ24" s="0" t="n">
        <v>0.735714285714286</v>
      </c>
      <c r="BA24" s="0" t="n">
        <v>0.5</v>
      </c>
      <c r="BB24" s="0">
        <f>ROUND((AX24/2*0.4+AY24/1.5*0.3+AZ24/1*0.2+BA24/0.5*0.1)*100,2)</f>
        <v/>
      </c>
      <c r="BC24" s="0">
        <f>ROUND(AC24+AH24+AI24+AL24+AQ24+AS24+AW24+(BB24/100*5),2)</f>
        <v/>
      </c>
      <c r="BD24" s="0">
        <f>IF(BC24&lt;=20,"极弱",IF(BC24&lt;=40,"偏弱",IF(BC24&lt;=60,"中等",IF(BC24&lt;=80,"较强","卓越"))))</f>
        <v/>
      </c>
      <c r="BH24" s="0" t="inlineStr">
        <is>
          <t>抖音/快手</t>
        </is>
      </c>
    </row>
    <row r="25">
      <c r="A25" s="0" t="inlineStr">
        <is>
          <t>24</t>
        </is>
      </c>
      <c r="B25" s="0" t="inlineStr">
        <is>
          <t>我的拼夕夕连接物价膨胀世界！！</t>
        </is>
      </c>
      <c r="C25" s="0" t="inlineStr">
        <is>
          <t>file:///Users/mr.hu/Desktop/爆款排名/10.31剧本_txt/我的拼夕夕连接物价膨胀世界！！.txt</t>
        </is>
      </c>
      <c r="E25" s="0" t="n">
        <v>25.18</v>
      </c>
      <c r="F25" s="0" t="n">
        <v>20</v>
      </c>
      <c r="G25" s="0">
        <f>IF(E25&lt;=8,"15–20集",IF(E25&lt;=20,"20–30集","30–40集"))</f>
        <v/>
      </c>
      <c r="H25" s="0" t="inlineStr">
        <is>
          <t>双频</t>
        </is>
      </c>
      <c r="I25" s="0" t="inlineStr">
        <is>
          <t>现代</t>
        </is>
      </c>
      <c r="J25" s="0" t="inlineStr">
        <is>
          <t>职场/商战</t>
        </is>
      </c>
      <c r="K25" s="0" t="inlineStr">
        <is>
          <t>写实都市</t>
        </is>
      </c>
      <c r="L25" s="0" t="n">
        <v>7</v>
      </c>
      <c r="M25" s="0" t="n">
        <v>4</v>
      </c>
      <c r="N25" s="0" t="inlineStr">
        <is>
          <t>男女皆可/下沉/45+</t>
        </is>
      </c>
      <c r="O25" s="0" t="inlineStr">
        <is>
          <t>周末黄金</t>
        </is>
      </c>
      <c r="P25" s="0" t="inlineStr">
        <is>
          <t>反转爽点</t>
        </is>
      </c>
      <c r="Q25" s="0" t="n">
        <v>3</v>
      </c>
      <c r="R25" s="0" t="n">
        <v>2</v>
      </c>
      <c r="S25" s="0" t="n">
        <v>3</v>
      </c>
      <c r="T25" s="0" t="n">
        <v>1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4</v>
      </c>
      <c r="AA25" s="0" t="n">
        <v>2</v>
      </c>
      <c r="AB25" s="0" t="n">
        <v>2</v>
      </c>
      <c r="AC25" s="0">
        <f>Y25+Z25+AA25+AB25</f>
        <v/>
      </c>
      <c r="AD25" s="0" t="n">
        <v>3</v>
      </c>
      <c r="AE25" s="0" t="n">
        <v>5</v>
      </c>
      <c r="AF25" s="0" t="n">
        <v>3</v>
      </c>
      <c r="AG25" s="0" t="n">
        <v>1</v>
      </c>
      <c r="AH25" s="0">
        <f>AD25+AE25+AF25+AG25</f>
        <v/>
      </c>
      <c r="AI25" s="0">
        <f>Q25+R25+S25+T25</f>
        <v/>
      </c>
      <c r="AJ25" s="0" t="n">
        <v>3</v>
      </c>
      <c r="AL25" s="0">
        <f>AJ25+U25+V25+W25+X25</f>
        <v/>
      </c>
      <c r="AM25" s="0" t="n">
        <v>7.15</v>
      </c>
      <c r="AN25" s="0" t="n">
        <v>7.15</v>
      </c>
      <c r="AO25" s="0" t="n">
        <v>25</v>
      </c>
      <c r="AP25" s="0" t="n">
        <v>36</v>
      </c>
      <c r="AQ25" s="0">
        <f>ROUND((MIN(AM25,10)/10*8)+(MIN(AN25,10)/10*6)+(MIN(AO25,10)/10*4)+(MIN(AP25,10)/10*2),2)</f>
        <v/>
      </c>
      <c r="AS25" s="0">
        <f>L25+M25</f>
        <v/>
      </c>
      <c r="AT25" s="0" t="n">
        <v>3</v>
      </c>
      <c r="AU25" s="0" t="n">
        <v>2</v>
      </c>
      <c r="AV25" s="0" t="n">
        <v>2</v>
      </c>
      <c r="AW25" s="0">
        <f>N25+O25+P25</f>
        <v/>
      </c>
      <c r="AX25" s="0" t="n">
        <v>2</v>
      </c>
      <c r="AY25" s="0" t="n">
        <v>1.05</v>
      </c>
      <c r="AZ25" s="0" t="n">
        <v>0.753571428571429</v>
      </c>
      <c r="BA25" s="0" t="n">
        <v>0.5</v>
      </c>
      <c r="BB25" s="0">
        <f>ROUND((AX25/2*0.4+AY25/1.5*0.3+AZ25/1*0.2+BA25/0.5*0.1)*100,2)</f>
        <v/>
      </c>
      <c r="BC25" s="0">
        <f>ROUND(AC25+AH25+AI25+AL25+AQ25+AS25+AW25+(BB25/100*5),2)</f>
        <v/>
      </c>
      <c r="BD25" s="0">
        <f>IF(BC25&lt;=20,"极弱",IF(BC25&lt;=40,"偏弱",IF(BC25&lt;=60,"中等",IF(BC25&lt;=80,"较强","卓越"))))</f>
        <v/>
      </c>
      <c r="BH25" s="0" t="inlineStr">
        <is>
          <t>视频号/快手</t>
        </is>
      </c>
    </row>
    <row r="26">
      <c r="A26" s="0" t="inlineStr">
        <is>
          <t>25</t>
        </is>
      </c>
      <c r="B26" s="0" t="inlineStr">
        <is>
          <t>我魔族卧底，开局被女帝逼婚</t>
        </is>
      </c>
      <c r="C26" s="0" t="inlineStr">
        <is>
          <t>file:///Users/mr.hu/Desktop/爆款排名/10.31剧本_txt/我魔族卧底，开局被女帝逼婚.txt</t>
        </is>
      </c>
      <c r="E26" s="0" t="n">
        <v>20.16</v>
      </c>
      <c r="F26" s="0" t="n">
        <v>16</v>
      </c>
      <c r="G26" s="0">
        <f>IF(E26&lt;=8,"15–20集",IF(E26&lt;=20,"20–30集","30–40集"))</f>
        <v/>
      </c>
      <c r="H26" s="0" t="inlineStr">
        <is>
          <t>男频</t>
        </is>
      </c>
      <c r="I26" s="0" t="inlineStr">
        <is>
          <t>科幻/奇幻</t>
        </is>
      </c>
      <c r="J26" s="0" t="inlineStr">
        <is>
          <t>玄幻修仙</t>
        </is>
      </c>
      <c r="K26" s="0" t="inlineStr">
        <is>
          <t>武侠动作</t>
        </is>
      </c>
      <c r="L26" s="0" t="n">
        <v>6</v>
      </c>
      <c r="M26" s="0" t="n">
        <v>7</v>
      </c>
      <c r="N26" s="0" t="inlineStr">
        <is>
          <t>男性/一二线/18–35</t>
        </is>
      </c>
      <c r="O26" s="0" t="inlineStr">
        <is>
          <t>节假日前后</t>
        </is>
      </c>
      <c r="P26" s="0" t="inlineStr">
        <is>
          <t>成长救赎</t>
        </is>
      </c>
      <c r="Q26" s="0" t="n">
        <v>3</v>
      </c>
      <c r="R26" s="0" t="n">
        <v>3</v>
      </c>
      <c r="S26" s="0" t="n">
        <v>0</v>
      </c>
      <c r="T26" s="0" t="n">
        <v>1</v>
      </c>
      <c r="U26" s="0" t="n">
        <v>1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4</v>
      </c>
      <c r="AA26" s="0" t="n">
        <v>2</v>
      </c>
      <c r="AB26" s="0" t="n">
        <v>2</v>
      </c>
      <c r="AC26" s="0">
        <f>Y26+Z26+AA26+AB26</f>
        <v/>
      </c>
      <c r="AD26" s="0" t="n">
        <v>4</v>
      </c>
      <c r="AE26" s="0" t="n">
        <v>4</v>
      </c>
      <c r="AF26" s="0" t="n">
        <v>1</v>
      </c>
      <c r="AG26" s="0" t="n">
        <v>1</v>
      </c>
      <c r="AH26" s="0">
        <f>AD26+AE26+AF26+AG26</f>
        <v/>
      </c>
      <c r="AI26" s="0">
        <f>Q26+R26+S26+T26</f>
        <v/>
      </c>
      <c r="AJ26" s="0" t="n">
        <v>3</v>
      </c>
      <c r="AL26" s="0">
        <f>AJ26+U26+V26+W26+X26</f>
        <v/>
      </c>
      <c r="AM26" s="0" t="n">
        <v>3.97</v>
      </c>
      <c r="AN26" s="0" t="n">
        <v>1.49</v>
      </c>
      <c r="AO26" s="0" t="n">
        <v>0</v>
      </c>
      <c r="AP26" s="0" t="n">
        <v>48</v>
      </c>
      <c r="AQ26" s="0">
        <f>ROUND((MIN(AM26,10)/10*8)+(MIN(AN26,10)/10*6)+(MIN(AO26,10)/10*4)+(MIN(AP26,10)/10*2),2)</f>
        <v/>
      </c>
      <c r="AS26" s="0">
        <f>L26+M26</f>
        <v/>
      </c>
      <c r="AT26" s="0" t="n">
        <v>3</v>
      </c>
      <c r="AU26" s="0" t="n">
        <v>2</v>
      </c>
      <c r="AV26" s="0" t="n">
        <v>3</v>
      </c>
      <c r="AW26" s="0">
        <f>N26+O26+P26</f>
        <v/>
      </c>
      <c r="AX26" s="0" t="n">
        <v>2</v>
      </c>
      <c r="AY26" s="0" t="n">
        <v>0.5</v>
      </c>
      <c r="AZ26" s="0" t="n">
        <v>0.85</v>
      </c>
      <c r="BA26" s="0" t="n">
        <v>0.5</v>
      </c>
      <c r="BB26" s="0">
        <f>ROUND((AX26/2*0.4+AY26/1.5*0.3+AZ26/1*0.2+BA26/0.5*0.1)*100,2)</f>
        <v/>
      </c>
      <c r="BC26" s="0">
        <f>ROUND(AC26+AH26+AI26+AL26+AQ26+AS26+AW26+(BB26/100*5),2)</f>
        <v/>
      </c>
      <c r="BD26" s="0">
        <f>IF(BC26&lt;=20,"极弱",IF(BC26&lt;=40,"偏弱",IF(BC26&lt;=60,"中等",IF(BC26&lt;=80,"较强","卓越"))))</f>
        <v/>
      </c>
      <c r="BH26" s="0" t="inlineStr">
        <is>
          <t>抖音/快手</t>
        </is>
      </c>
    </row>
    <row r="27">
      <c r="A27" s="0" t="inlineStr">
        <is>
          <t>26</t>
        </is>
      </c>
      <c r="B27" s="0" t="inlineStr">
        <is>
          <t>拒绝当舔狗后，我成亿万富翁</t>
        </is>
      </c>
      <c r="C27" s="0" t="inlineStr">
        <is>
          <t>file:///Users/mr.hu/Desktop/爆款排名/10.31剧本_txt/拒绝当舔狗后，我成亿万富翁.txt</t>
        </is>
      </c>
      <c r="E27" s="0" t="n">
        <v>23.11</v>
      </c>
      <c r="F27" s="0" t="n">
        <v>19</v>
      </c>
      <c r="G27" s="0">
        <f>IF(E27&lt;=8,"15–20集",IF(E27&lt;=20,"20–30集","30–40集"))</f>
        <v/>
      </c>
      <c r="H27" s="0" t="inlineStr">
        <is>
          <t>男频</t>
        </is>
      </c>
      <c r="I27" s="0" t="inlineStr">
        <is>
          <t>科幻/奇幻</t>
        </is>
      </c>
      <c r="J27" s="0" t="inlineStr">
        <is>
          <t>职场/商战</t>
        </is>
      </c>
      <c r="K27" s="0" t="inlineStr">
        <is>
          <t>写实都市</t>
        </is>
      </c>
      <c r="L27" s="0" t="n">
        <v>5</v>
      </c>
      <c r="M27" s="0" t="n">
        <v>5</v>
      </c>
      <c r="N27" s="0" t="inlineStr">
        <is>
          <t>男性/下沉/45+</t>
        </is>
      </c>
      <c r="O27" s="0" t="inlineStr">
        <is>
          <t>周末黄金</t>
        </is>
      </c>
      <c r="P27" s="0" t="inlineStr">
        <is>
          <t>反转爽点</t>
        </is>
      </c>
      <c r="Q27" s="0" t="n">
        <v>3</v>
      </c>
      <c r="R27" s="0" t="n">
        <v>3</v>
      </c>
      <c r="S27" s="0" t="n">
        <v>3</v>
      </c>
      <c r="T27" s="0" t="n">
        <v>1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1</v>
      </c>
      <c r="Z27" s="0" t="n">
        <v>4</v>
      </c>
      <c r="AA27" s="0" t="n">
        <v>0</v>
      </c>
      <c r="AB27" s="0" t="n">
        <v>2</v>
      </c>
      <c r="AC27" s="0">
        <f>Y27+Z27+AA27+AB27</f>
        <v/>
      </c>
      <c r="AD27" s="0" t="n">
        <v>4</v>
      </c>
      <c r="AE27" s="0" t="n">
        <v>3</v>
      </c>
      <c r="AF27" s="0" t="n">
        <v>3</v>
      </c>
      <c r="AG27" s="0" t="n">
        <v>1</v>
      </c>
      <c r="AH27" s="0">
        <f>AD27+AE27+AF27+AG27</f>
        <v/>
      </c>
      <c r="AI27" s="0">
        <f>Q27+R27+S27+T27</f>
        <v/>
      </c>
      <c r="AJ27" s="0" t="n">
        <v>3</v>
      </c>
      <c r="AL27" s="0">
        <f>AJ27+U27+V27+W27+X27</f>
        <v/>
      </c>
      <c r="AM27" s="0" t="n">
        <v>0</v>
      </c>
      <c r="AN27" s="0" t="n">
        <v>3.89</v>
      </c>
      <c r="AO27" s="0" t="n">
        <v>0</v>
      </c>
      <c r="AP27" s="0" t="n">
        <v>24</v>
      </c>
      <c r="AQ27" s="0">
        <f>ROUND((MIN(AM27,10)/10*8)+(MIN(AN27,10)/10*6)+(MIN(AO27,10)/10*4)+(MIN(AP27,10)/10*2),2)</f>
        <v/>
      </c>
      <c r="AS27" s="0">
        <f>L27+M27</f>
        <v/>
      </c>
      <c r="AT27" s="0" t="n">
        <v>3</v>
      </c>
      <c r="AU27" s="0" t="n">
        <v>2</v>
      </c>
      <c r="AV27" s="0" t="n">
        <v>2</v>
      </c>
      <c r="AW27" s="0">
        <f>N27+O27+P27</f>
        <v/>
      </c>
      <c r="AX27" s="0" t="n">
        <v>2</v>
      </c>
      <c r="AY27" s="0" t="n">
        <v>0.7</v>
      </c>
      <c r="AZ27" s="0" t="n">
        <v>0.660714285714286</v>
      </c>
      <c r="BA27" s="0" t="n">
        <v>0.5</v>
      </c>
      <c r="BB27" s="0">
        <f>ROUND((AX27/2*0.4+AY27/1.5*0.3+AZ27/1*0.2+BA27/0.5*0.1)*100,2)</f>
        <v/>
      </c>
      <c r="BC27" s="0">
        <f>ROUND(AC27+AH27+AI27+AL27+AQ27+AS27+AW27+(BB27/100*5),2)</f>
        <v/>
      </c>
      <c r="BD27" s="0">
        <f>IF(BC27&lt;=20,"极弱",IF(BC27&lt;=40,"偏弱",IF(BC27&lt;=60,"中等",IF(BC27&lt;=80,"较强","卓越"))))</f>
        <v/>
      </c>
      <c r="BH27" s="0" t="inlineStr">
        <is>
          <t>视频号/快手</t>
        </is>
      </c>
    </row>
    <row r="28">
      <c r="A28" s="0" t="inlineStr">
        <is>
          <t>27</t>
        </is>
      </c>
      <c r="B28" s="0" t="inlineStr">
        <is>
          <t>挖地成宝，我大脑里有张藏宝图</t>
        </is>
      </c>
      <c r="C28" s="0" t="inlineStr">
        <is>
          <t>file:///Users/mr.hu/Desktop/爆款排名/10.31剧本_txt/挖地成宝，我大脑里有张藏宝图.txt</t>
        </is>
      </c>
      <c r="E28" s="0" t="n">
        <v>25.82</v>
      </c>
      <c r="F28" s="0" t="n">
        <v>21</v>
      </c>
      <c r="G28" s="0">
        <f>IF(E28&lt;=8,"15–20集",IF(E28&lt;=20,"20–30集","30–40集"))</f>
        <v/>
      </c>
      <c r="H28" s="0" t="inlineStr">
        <is>
          <t>男频</t>
        </is>
      </c>
      <c r="I28" s="0" t="inlineStr">
        <is>
          <t>科幻/奇幻</t>
        </is>
      </c>
      <c r="J28" s="0" t="inlineStr">
        <is>
          <t>职场/商战</t>
        </is>
      </c>
      <c r="K28" s="0" t="inlineStr">
        <is>
          <t>写实都市</t>
        </is>
      </c>
      <c r="L28" s="0" t="n">
        <v>6</v>
      </c>
      <c r="M28" s="0" t="n">
        <v>7</v>
      </c>
      <c r="N28" s="0" t="inlineStr">
        <is>
          <t>男性/下沉/18–35</t>
        </is>
      </c>
      <c r="O28" s="0" t="inlineStr">
        <is>
          <t>周末黄金</t>
        </is>
      </c>
      <c r="P28" s="0" t="inlineStr">
        <is>
          <t>反转爽点</t>
        </is>
      </c>
      <c r="Q28" s="0" t="n">
        <v>3</v>
      </c>
      <c r="R28" s="0" t="n">
        <v>3</v>
      </c>
      <c r="S28" s="0" t="n">
        <v>2</v>
      </c>
      <c r="T28" s="0" t="n">
        <v>0</v>
      </c>
      <c r="U28" s="0" t="n">
        <v>1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4</v>
      </c>
      <c r="AA28" s="0" t="n">
        <v>2</v>
      </c>
      <c r="AB28" s="0" t="n">
        <v>2</v>
      </c>
      <c r="AC28" s="0">
        <f>Y28+Z28+AA28+AB28</f>
        <v/>
      </c>
      <c r="AD28" s="0" t="n">
        <v>2</v>
      </c>
      <c r="AE28" s="0" t="n">
        <v>3</v>
      </c>
      <c r="AF28" s="0" t="n">
        <v>2</v>
      </c>
      <c r="AG28" s="0" t="n">
        <v>1</v>
      </c>
      <c r="AH28" s="0">
        <f>AD28+AE28+AF28+AG28</f>
        <v/>
      </c>
      <c r="AI28" s="0">
        <f>Q28+R28+S28+T28</f>
        <v/>
      </c>
      <c r="AJ28" s="0" t="n">
        <v>3</v>
      </c>
      <c r="AL28" s="0">
        <f>AJ28+U28+V28+W28+X28</f>
        <v/>
      </c>
      <c r="AM28" s="0" t="n">
        <v>1.55</v>
      </c>
      <c r="AN28" s="0" t="n">
        <v>1.16</v>
      </c>
      <c r="AO28" s="0" t="n">
        <v>25</v>
      </c>
      <c r="AP28" s="0" t="n">
        <v>48</v>
      </c>
      <c r="AQ28" s="0">
        <f>ROUND((MIN(AM28,10)/10*8)+(MIN(AN28,10)/10*6)+(MIN(AO28,10)/10*4)+(MIN(AP28,10)/10*2),2)</f>
        <v/>
      </c>
      <c r="AS28" s="0">
        <f>L28+M28</f>
        <v/>
      </c>
      <c r="AT28" s="0" t="n">
        <v>3</v>
      </c>
      <c r="AU28" s="0" t="n">
        <v>2</v>
      </c>
      <c r="AV28" s="0" t="n">
        <v>2</v>
      </c>
      <c r="AW28" s="0">
        <f>N28+O28+P28</f>
        <v/>
      </c>
      <c r="AX28" s="0" t="n">
        <v>2</v>
      </c>
      <c r="AY28" s="0" t="n">
        <v>1.05</v>
      </c>
      <c r="AZ28" s="0" t="n">
        <v>0.85</v>
      </c>
      <c r="BA28" s="0" t="n">
        <v>0.5</v>
      </c>
      <c r="BB28" s="0">
        <f>ROUND((AX28/2*0.4+AY28/1.5*0.3+AZ28/1*0.2+BA28/0.5*0.1)*100,2)</f>
        <v/>
      </c>
      <c r="BC28" s="0">
        <f>ROUND(AC28+AH28+AI28+AL28+AQ28+AS28+AW28+(BB28/100*5),2)</f>
        <v/>
      </c>
      <c r="BD28" s="0">
        <f>IF(BC28&lt;=20,"极弱",IF(BC28&lt;=40,"偏弱",IF(BC28&lt;=60,"中等",IF(BC28&lt;=80,"较强","卓越"))))</f>
        <v/>
      </c>
      <c r="BH28" s="0" t="inlineStr">
        <is>
          <t>视频号/快手</t>
        </is>
      </c>
    </row>
    <row r="29">
      <c r="A29" s="0" t="inlineStr">
        <is>
          <t>28</t>
        </is>
      </c>
      <c r="B29" s="0" t="inlineStr">
        <is>
          <t>摆烂就变强，我的摆烂系统无敌了</t>
        </is>
      </c>
      <c r="C29" s="0" t="inlineStr">
        <is>
          <t>file:///Users/mr.hu/Desktop/爆款排名/10.31剧本_txt/摆烂就变强，我的摆烂系统无敌了.txt</t>
        </is>
      </c>
      <c r="E29" s="0" t="n">
        <v>41.07</v>
      </c>
      <c r="F29" s="0" t="n">
        <v>34</v>
      </c>
      <c r="G29" s="0">
        <f>IF(E29&lt;=8,"15–20集",IF(E29&lt;=20,"20–30集","30–40集"))</f>
        <v/>
      </c>
      <c r="H29" s="0" t="inlineStr">
        <is>
          <t>男频</t>
        </is>
      </c>
      <c r="I29" s="0" t="inlineStr">
        <is>
          <t>现代</t>
        </is>
      </c>
      <c r="J29" s="0" t="inlineStr">
        <is>
          <t>职场/商战</t>
        </is>
      </c>
      <c r="K29" s="0" t="inlineStr">
        <is>
          <t>写实都市</t>
        </is>
      </c>
      <c r="L29" s="0" t="n">
        <v>4</v>
      </c>
      <c r="M29" s="0" t="n">
        <v>7</v>
      </c>
      <c r="N29" s="0" t="inlineStr">
        <is>
          <t>男性/下沉/45+</t>
        </is>
      </c>
      <c r="O29" s="0" t="inlineStr">
        <is>
          <t>周末黄金</t>
        </is>
      </c>
      <c r="P29" s="0" t="inlineStr">
        <is>
          <t>反转爽点</t>
        </is>
      </c>
      <c r="Q29" s="0" t="n">
        <v>3</v>
      </c>
      <c r="R29" s="0" t="n">
        <v>3</v>
      </c>
      <c r="S29" s="0" t="n">
        <v>3</v>
      </c>
      <c r="T29" s="0" t="n">
        <v>1</v>
      </c>
      <c r="U29" s="0" t="n">
        <v>1</v>
      </c>
      <c r="V29" s="0" t="n">
        <v>2</v>
      </c>
      <c r="W29" s="0" t="n">
        <v>1</v>
      </c>
      <c r="X29" s="0" t="n">
        <v>1</v>
      </c>
      <c r="Y29" s="0" t="n">
        <v>6</v>
      </c>
      <c r="Z29" s="0" t="n">
        <v>4</v>
      </c>
      <c r="AA29" s="0" t="n">
        <v>3</v>
      </c>
      <c r="AB29" s="0" t="n">
        <v>2</v>
      </c>
      <c r="AC29" s="0">
        <f>Y29+Z29+AA29+AB29</f>
        <v/>
      </c>
      <c r="AD29" s="0" t="n">
        <v>5</v>
      </c>
      <c r="AE29" s="0" t="n">
        <v>6</v>
      </c>
      <c r="AF29" s="0" t="n">
        <v>2</v>
      </c>
      <c r="AG29" s="0" t="n">
        <v>1</v>
      </c>
      <c r="AH29" s="0">
        <f>AD29+AE29+AF29+AG29</f>
        <v/>
      </c>
      <c r="AI29" s="0">
        <f>Q29+R29+S29+T29</f>
        <v/>
      </c>
      <c r="AJ29" s="0" t="n">
        <v>3</v>
      </c>
      <c r="AL29" s="0">
        <f>AJ29+U29+V29+W29+X29</f>
        <v/>
      </c>
      <c r="AM29" s="0" t="n">
        <v>6.33</v>
      </c>
      <c r="AN29" s="0" t="n">
        <v>51.13</v>
      </c>
      <c r="AO29" s="0" t="n">
        <v>25</v>
      </c>
      <c r="AP29" s="0" t="n">
        <v>100</v>
      </c>
      <c r="AQ29" s="0">
        <f>ROUND((MIN(AM29,10)/10*8)+(MIN(AN29,10)/10*6)+(MIN(AO29,10)/10*4)+(MIN(AP29,10)/10*2),2)</f>
        <v/>
      </c>
      <c r="AS29" s="0">
        <f>L29+M29</f>
        <v/>
      </c>
      <c r="AT29" s="0" t="n">
        <v>3</v>
      </c>
      <c r="AU29" s="0" t="n">
        <v>2</v>
      </c>
      <c r="AV29" s="0" t="n">
        <v>3</v>
      </c>
      <c r="AW29" s="0">
        <f>N29+O29+P29</f>
        <v/>
      </c>
      <c r="AX29" s="0" t="n">
        <v>2</v>
      </c>
      <c r="AY29" s="0" t="n">
        <v>1.4</v>
      </c>
      <c r="AZ29" s="0" t="n">
        <v>0.7</v>
      </c>
      <c r="BA29" s="0" t="n">
        <v>0.5</v>
      </c>
      <c r="BB29" s="0">
        <f>ROUND((AX29/2*0.4+AY29/1.5*0.3+AZ29/1*0.2+BA29/0.5*0.1)*100,2)</f>
        <v/>
      </c>
      <c r="BC29" s="0">
        <f>ROUND(AC29+AH29+AI29+AL29+AQ29+AS29+AW29+(BB29/100*5),2)</f>
        <v/>
      </c>
      <c r="BD29" s="0">
        <f>IF(BC29&lt;=20,"极弱",IF(BC29&lt;=40,"偏弱",IF(BC29&lt;=60,"中等",IF(BC29&lt;=80,"较强","卓越"))))</f>
        <v/>
      </c>
      <c r="BH29" s="0" t="inlineStr">
        <is>
          <t>视频号/快手</t>
        </is>
      </c>
    </row>
    <row r="30">
      <c r="A30" s="0" t="inlineStr">
        <is>
          <t>29</t>
        </is>
      </c>
      <c r="B30" s="0" t="inlineStr">
        <is>
          <t>替兄入赘：我成首富你后悔什么</t>
        </is>
      </c>
      <c r="C30" s="0" t="inlineStr">
        <is>
          <t>file:///Users/mr.hu/Desktop/爆款排名/10.31剧本_txt/替兄入赘：我成首富你后悔什么.txt</t>
        </is>
      </c>
      <c r="E30" s="0" t="n">
        <v>19.79</v>
      </c>
      <c r="F30" s="0" t="n">
        <v>16</v>
      </c>
      <c r="G30" s="0">
        <f>IF(E30&lt;=8,"15–20集",IF(E30&lt;=20,"20–30集","30–40集"))</f>
        <v/>
      </c>
      <c r="H30" s="0" t="inlineStr">
        <is>
          <t>双频</t>
        </is>
      </c>
      <c r="I30" s="0" t="inlineStr">
        <is>
          <t>古代</t>
        </is>
      </c>
      <c r="J30" s="0" t="inlineStr">
        <is>
          <t>家庭/婚恋</t>
        </is>
      </c>
      <c r="K30" s="0" t="inlineStr">
        <is>
          <t>古装群像</t>
        </is>
      </c>
      <c r="L30" s="0" t="n">
        <v>5</v>
      </c>
      <c r="M30" s="0" t="n">
        <v>7</v>
      </c>
      <c r="N30" s="0" t="inlineStr">
        <is>
          <t>男女皆可/一二线/45+</t>
        </is>
      </c>
      <c r="O30" s="0" t="inlineStr">
        <is>
          <t>节假日前后</t>
        </is>
      </c>
      <c r="P30" s="0" t="inlineStr">
        <is>
          <t>反转爽点</t>
        </is>
      </c>
      <c r="Q30" s="0" t="n">
        <v>1</v>
      </c>
      <c r="R30" s="0" t="n">
        <v>1</v>
      </c>
      <c r="S30" s="0" t="n">
        <v>0</v>
      </c>
      <c r="T30" s="0" t="n">
        <v>1</v>
      </c>
      <c r="U30" s="0" t="n">
        <v>1</v>
      </c>
      <c r="V30" s="0" t="n">
        <v>2</v>
      </c>
      <c r="W30" s="0" t="n">
        <v>0</v>
      </c>
      <c r="X30" s="0" t="n">
        <v>1</v>
      </c>
      <c r="Y30" s="0" t="n">
        <v>0</v>
      </c>
      <c r="Z30" s="0" t="n">
        <v>4</v>
      </c>
      <c r="AA30" s="0" t="n">
        <v>2</v>
      </c>
      <c r="AB30" s="0" t="n">
        <v>2</v>
      </c>
      <c r="AC30" s="0">
        <f>Y30+Z30+AA30+AB30</f>
        <v/>
      </c>
      <c r="AD30" s="0" t="n">
        <v>2</v>
      </c>
      <c r="AE30" s="0" t="n">
        <v>3</v>
      </c>
      <c r="AF30" s="0" t="n">
        <v>2</v>
      </c>
      <c r="AG30" s="0" t="n">
        <v>0</v>
      </c>
      <c r="AH30" s="0">
        <f>AD30+AE30+AF30+AG30</f>
        <v/>
      </c>
      <c r="AI30" s="0">
        <f>Q30+R30+S30+T30</f>
        <v/>
      </c>
      <c r="AJ30" s="0" t="n">
        <v>3</v>
      </c>
      <c r="AL30" s="0">
        <f>AJ30+U30+V30+W30+X30</f>
        <v/>
      </c>
      <c r="AM30" s="0" t="n">
        <v>1.01</v>
      </c>
      <c r="AN30" s="0" t="n">
        <v>4.55</v>
      </c>
      <c r="AO30" s="0" t="n">
        <v>0</v>
      </c>
      <c r="AP30" s="0" t="n">
        <v>0</v>
      </c>
      <c r="AQ30" s="0">
        <f>ROUND((MIN(AM30,10)/10*8)+(MIN(AN30,10)/10*6)+(MIN(AO30,10)/10*4)+(MIN(AP30,10)/10*2),2)</f>
        <v/>
      </c>
      <c r="AS30" s="0">
        <f>L30+M30</f>
        <v/>
      </c>
      <c r="AT30" s="0" t="n">
        <v>2</v>
      </c>
      <c r="AU30" s="0" t="n">
        <v>2</v>
      </c>
      <c r="AV30" s="0" t="n">
        <v>2</v>
      </c>
      <c r="AW30" s="0">
        <f>N30+O30+P30</f>
        <v/>
      </c>
      <c r="AX30" s="0" t="n">
        <v>1</v>
      </c>
      <c r="AY30" s="0" t="n">
        <v>0.5</v>
      </c>
      <c r="AZ30" s="0" t="n">
        <v>0.775</v>
      </c>
      <c r="BA30" s="0" t="n">
        <v>0.5</v>
      </c>
      <c r="BB30" s="0">
        <f>ROUND((AX30/2*0.4+AY30/1.5*0.3+AZ30/1*0.2+BA30/0.5*0.1)*100,2)</f>
        <v/>
      </c>
      <c r="BC30" s="0">
        <f>ROUND(AC30+AH30+AI30+AL30+AQ30+AS30+AW30+(BB30/100*5),2)</f>
        <v/>
      </c>
      <c r="BD30" s="0">
        <f>IF(BC30&lt;=20,"极弱",IF(BC30&lt;=40,"偏弱",IF(BC30&lt;=60,"中等",IF(BC30&lt;=80,"较强","卓越"))))</f>
        <v/>
      </c>
      <c r="BH30" s="0" t="inlineStr">
        <is>
          <t>抖音/快手</t>
        </is>
      </c>
    </row>
    <row r="31">
      <c r="A31" s="0" t="inlineStr">
        <is>
          <t>30</t>
        </is>
      </c>
      <c r="B31" s="0" t="inlineStr">
        <is>
          <t>正经道爷，女居士请自重</t>
        </is>
      </c>
      <c r="C31" s="0" t="inlineStr">
        <is>
          <t>file:///Users/mr.hu/Desktop/爆款排名/10.31剧本_txt/正经道爷，女居士请自重.txt</t>
        </is>
      </c>
      <c r="E31" s="0" t="n">
        <v>23.4</v>
      </c>
      <c r="F31" s="0" t="n">
        <v>19</v>
      </c>
      <c r="G31" s="0">
        <f>IF(E31&lt;=8,"15–20集",IF(E31&lt;=20,"20–30集","30–40集"))</f>
        <v/>
      </c>
      <c r="H31" s="0" t="inlineStr">
        <is>
          <t>男频</t>
        </is>
      </c>
      <c r="I31" s="0" t="inlineStr">
        <is>
          <t>古代</t>
        </is>
      </c>
      <c r="J31" s="0" t="inlineStr">
        <is>
          <t>玄幻修仙</t>
        </is>
      </c>
      <c r="K31" s="0" t="inlineStr">
        <is>
          <t>武侠动作</t>
        </is>
      </c>
      <c r="L31" s="0" t="n">
        <v>5</v>
      </c>
      <c r="M31" s="0" t="n">
        <v>7</v>
      </c>
      <c r="N31" s="0" t="inlineStr">
        <is>
          <t>男性/一二线/45+</t>
        </is>
      </c>
      <c r="O31" s="0" t="inlineStr">
        <is>
          <t>节假日前后</t>
        </is>
      </c>
      <c r="P31" s="0" t="inlineStr">
        <is>
          <t>知识信息量</t>
        </is>
      </c>
      <c r="Q31" s="0" t="n">
        <v>3</v>
      </c>
      <c r="R31" s="0" t="n">
        <v>2</v>
      </c>
      <c r="S31" s="0" t="n">
        <v>2</v>
      </c>
      <c r="T31" s="0" t="n">
        <v>1</v>
      </c>
      <c r="U31" s="0" t="n">
        <v>1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4</v>
      </c>
      <c r="AA31" s="0" t="n">
        <v>0</v>
      </c>
      <c r="AB31" s="0" t="n">
        <v>1</v>
      </c>
      <c r="AC31" s="0">
        <f>Y31+Z31+AA31+AB31</f>
        <v/>
      </c>
      <c r="AD31" s="0" t="n">
        <v>2</v>
      </c>
      <c r="AE31" s="0" t="n">
        <v>6</v>
      </c>
      <c r="AF31" s="0" t="n">
        <v>2</v>
      </c>
      <c r="AG31" s="0" t="n">
        <v>0</v>
      </c>
      <c r="AH31" s="0">
        <f>AD31+AE31+AF31+AG31</f>
        <v/>
      </c>
      <c r="AI31" s="0">
        <f>Q31+R31+S31+T31</f>
        <v/>
      </c>
      <c r="AJ31" s="0" t="n">
        <v>3</v>
      </c>
      <c r="AL31" s="0">
        <f>AJ31+U31+V31+W31+X31</f>
        <v/>
      </c>
      <c r="AM31" s="0" t="n">
        <v>2.56</v>
      </c>
      <c r="AN31" s="0" t="n">
        <v>19.23</v>
      </c>
      <c r="AO31" s="0" t="n">
        <v>25</v>
      </c>
      <c r="AP31" s="0" t="n">
        <v>36</v>
      </c>
      <c r="AQ31" s="0">
        <f>ROUND((MIN(AM31,10)/10*8)+(MIN(AN31,10)/10*6)+(MIN(AO31,10)/10*4)+(MIN(AP31,10)/10*2),2)</f>
        <v/>
      </c>
      <c r="AS31" s="0">
        <f>L31+M31</f>
        <v/>
      </c>
      <c r="AT31" s="0" t="n">
        <v>2</v>
      </c>
      <c r="AU31" s="0" t="n">
        <v>2</v>
      </c>
      <c r="AV31" s="0" t="n">
        <v>2</v>
      </c>
      <c r="AW31" s="0">
        <f>N31+O31+P31</f>
        <v/>
      </c>
      <c r="AX31" s="0" t="n">
        <v>1.5</v>
      </c>
      <c r="AY31" s="0" t="n">
        <v>0.5</v>
      </c>
      <c r="AZ31" s="0" t="n">
        <v>0.775</v>
      </c>
      <c r="BA31" s="0" t="n">
        <v>0.5</v>
      </c>
      <c r="BB31" s="0">
        <f>ROUND((AX31/2*0.4+AY31/1.5*0.3+AZ31/1*0.2+BA31/0.5*0.1)*100,2)</f>
        <v/>
      </c>
      <c r="BC31" s="0">
        <f>ROUND(AC31+AH31+AI31+AL31+AQ31+AS31+AW31+(BB31/100*5),2)</f>
        <v/>
      </c>
      <c r="BD31" s="0">
        <f>IF(BC31&lt;=20,"极弱",IF(BC31&lt;=40,"偏弱",IF(BC31&lt;=60,"中等",IF(BC31&lt;=80,"较强","卓越"))))</f>
        <v/>
      </c>
      <c r="BH31" s="0" t="inlineStr">
        <is>
          <t>抖音/快手</t>
        </is>
      </c>
    </row>
    <row r="32">
      <c r="A32" s="0" t="inlineStr">
        <is>
          <t>31</t>
        </is>
      </c>
      <c r="B32" s="0" t="inlineStr">
        <is>
          <t>流落民间？我回来抢皇位了</t>
        </is>
      </c>
      <c r="C32" s="0" t="inlineStr">
        <is>
          <t>file:///Users/mr.hu/Desktop/爆款排名/10.31剧本_txt/流落民间？我回来抢皇位了.txt</t>
        </is>
      </c>
      <c r="E32" s="0" t="n">
        <v>22.75</v>
      </c>
      <c r="F32" s="0" t="n">
        <v>18</v>
      </c>
      <c r="G32" s="0">
        <f>IF(E32&lt;=8,"15–20集",IF(E32&lt;=20,"20–30集","30–40集"))</f>
        <v/>
      </c>
      <c r="H32" s="0" t="inlineStr">
        <is>
          <t>男频</t>
        </is>
      </c>
      <c r="I32" s="0" t="inlineStr">
        <is>
          <t>古代</t>
        </is>
      </c>
      <c r="J32" s="0" t="inlineStr">
        <is>
          <t>古代权谋/科举</t>
        </is>
      </c>
      <c r="K32" s="0" t="inlineStr">
        <is>
          <t>武侠动作</t>
        </is>
      </c>
      <c r="L32" s="0" t="n">
        <v>6</v>
      </c>
      <c r="M32" s="0" t="n">
        <v>5</v>
      </c>
      <c r="N32" s="0" t="inlineStr">
        <is>
          <t>男性/一二线/18–35</t>
        </is>
      </c>
      <c r="O32" s="0" t="inlineStr">
        <is>
          <t>节假日前后</t>
        </is>
      </c>
      <c r="P32" s="0" t="inlineStr">
        <is>
          <t>反转爽点</t>
        </is>
      </c>
      <c r="Q32" s="0" t="n">
        <v>3</v>
      </c>
      <c r="R32" s="0" t="n">
        <v>3</v>
      </c>
      <c r="S32" s="0" t="n">
        <v>1</v>
      </c>
      <c r="T32" s="0" t="n">
        <v>1</v>
      </c>
      <c r="U32" s="0" t="n">
        <v>1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4</v>
      </c>
      <c r="AA32" s="0" t="n">
        <v>2</v>
      </c>
      <c r="AB32" s="0" t="n">
        <v>2</v>
      </c>
      <c r="AC32" s="0">
        <f>Y32+Z32+AA32+AB32</f>
        <v/>
      </c>
      <c r="AD32" s="0" t="n">
        <v>5</v>
      </c>
      <c r="AE32" s="0" t="n">
        <v>5</v>
      </c>
      <c r="AF32" s="0" t="n">
        <v>2</v>
      </c>
      <c r="AG32" s="0" t="n">
        <v>1</v>
      </c>
      <c r="AH32" s="0">
        <f>AD32+AE32+AF32+AG32</f>
        <v/>
      </c>
      <c r="AI32" s="0">
        <f>Q32+R32+S32+T32</f>
        <v/>
      </c>
      <c r="AJ32" s="0" t="n">
        <v>2</v>
      </c>
      <c r="AL32" s="0">
        <f>AJ32+U32+V32+W32+X32</f>
        <v/>
      </c>
      <c r="AM32" s="0" t="n">
        <v>4.4</v>
      </c>
      <c r="AN32" s="0" t="n">
        <v>13.19</v>
      </c>
      <c r="AO32" s="0" t="n">
        <v>0</v>
      </c>
      <c r="AP32" s="0" t="n">
        <v>12</v>
      </c>
      <c r="AQ32" s="0">
        <f>ROUND((MIN(AM32,10)/10*8)+(MIN(AN32,10)/10*6)+(MIN(AO32,10)/10*4)+(MIN(AP32,10)/10*2),2)</f>
        <v/>
      </c>
      <c r="AS32" s="0">
        <f>L32+M32</f>
        <v/>
      </c>
      <c r="AT32" s="0" t="n">
        <v>2</v>
      </c>
      <c r="AU32" s="0" t="n">
        <v>2</v>
      </c>
      <c r="AV32" s="0" t="n">
        <v>2</v>
      </c>
      <c r="AW32" s="0">
        <f>N32+O32+P32</f>
        <v/>
      </c>
      <c r="AX32" s="0" t="n">
        <v>1</v>
      </c>
      <c r="AY32" s="0" t="n">
        <v>0.5</v>
      </c>
      <c r="AZ32" s="0" t="n">
        <v>0.735714285714286</v>
      </c>
      <c r="BA32" s="0" t="n">
        <v>0.5</v>
      </c>
      <c r="BB32" s="0">
        <f>ROUND((AX32/2*0.4+AY32/1.5*0.3+AZ32/1*0.2+BA32/0.5*0.1)*100,2)</f>
        <v/>
      </c>
      <c r="BC32" s="0">
        <f>ROUND(AC32+AH32+AI32+AL32+AQ32+AS32+AW32+(BB32/100*5),2)</f>
        <v/>
      </c>
      <c r="BD32" s="0">
        <f>IF(BC32&lt;=20,"极弱",IF(BC32&lt;=40,"偏弱",IF(BC32&lt;=60,"中等",IF(BC32&lt;=80,"较强","卓越"))))</f>
        <v/>
      </c>
      <c r="BH32" s="0" t="inlineStr">
        <is>
          <t>抖音/快手</t>
        </is>
      </c>
    </row>
    <row r="33">
      <c r="A33" s="0" t="inlineStr">
        <is>
          <t>32</t>
        </is>
      </c>
      <c r="B33" s="0" t="inlineStr">
        <is>
          <t>清北毕业，你让我回村当书记！</t>
        </is>
      </c>
      <c r="C33" s="0" t="inlineStr">
        <is>
          <t>file:///Users/mr.hu/Desktop/爆款排名/10.31剧本_txt/清北毕业，你让我回村当书记！.txt</t>
        </is>
      </c>
      <c r="E33" s="0" t="n">
        <v>23.22</v>
      </c>
      <c r="F33" s="0" t="n">
        <v>19</v>
      </c>
      <c r="G33" s="0">
        <f>IF(E33&lt;=8,"15–20集",IF(E33&lt;=20,"20–30集","30–40集"))</f>
        <v/>
      </c>
      <c r="H33" s="0" t="inlineStr">
        <is>
          <t>男频</t>
        </is>
      </c>
      <c r="I33" s="0" t="inlineStr">
        <is>
          <t>现代</t>
        </is>
      </c>
      <c r="J33" s="0" t="inlineStr">
        <is>
          <t>职场/商战</t>
        </is>
      </c>
      <c r="K33" s="0" t="inlineStr">
        <is>
          <t>写实都市</t>
        </is>
      </c>
      <c r="L33" s="0" t="n">
        <v>5</v>
      </c>
      <c r="M33" s="0" t="n">
        <v>5</v>
      </c>
      <c r="N33" s="0" t="inlineStr">
        <is>
          <t>男性/下沉/45+</t>
        </is>
      </c>
      <c r="O33" s="0" t="inlineStr">
        <is>
          <t>周末黄金</t>
        </is>
      </c>
      <c r="P33" s="0" t="inlineStr">
        <is>
          <t>知识信息量</t>
        </is>
      </c>
      <c r="Q33" s="0" t="n">
        <v>1</v>
      </c>
      <c r="R33" s="0" t="n">
        <v>3</v>
      </c>
      <c r="S33" s="0" t="n">
        <v>3</v>
      </c>
      <c r="T33" s="0" t="n">
        <v>1</v>
      </c>
      <c r="U33" s="0" t="n">
        <v>3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4</v>
      </c>
      <c r="AA33" s="0" t="n">
        <v>2</v>
      </c>
      <c r="AB33" s="0" t="n">
        <v>1</v>
      </c>
      <c r="AC33" s="0">
        <f>Y33+Z33+AA33+AB33</f>
        <v/>
      </c>
      <c r="AD33" s="0" t="n">
        <v>4</v>
      </c>
      <c r="AE33" s="0" t="n">
        <v>4</v>
      </c>
      <c r="AF33" s="0" t="n">
        <v>2</v>
      </c>
      <c r="AG33" s="0" t="n">
        <v>1</v>
      </c>
      <c r="AH33" s="0">
        <f>AD33+AE33+AF33+AG33</f>
        <v/>
      </c>
      <c r="AI33" s="0">
        <f>Q33+R33+S33+T33</f>
        <v/>
      </c>
      <c r="AJ33" s="0" t="n">
        <v>3</v>
      </c>
      <c r="AL33" s="0">
        <f>AJ33+U33+V33+W33+X33</f>
        <v/>
      </c>
      <c r="AM33" s="0" t="n">
        <v>0</v>
      </c>
      <c r="AN33" s="0" t="n">
        <v>5.17</v>
      </c>
      <c r="AO33" s="0" t="n">
        <v>0</v>
      </c>
      <c r="AP33" s="0" t="n">
        <v>12</v>
      </c>
      <c r="AQ33" s="0">
        <f>ROUND((MIN(AM33,10)/10*8)+(MIN(AN33,10)/10*6)+(MIN(AO33,10)/10*4)+(MIN(AP33,10)/10*2),2)</f>
        <v/>
      </c>
      <c r="AS33" s="0">
        <f>L33+M33</f>
        <v/>
      </c>
      <c r="AT33" s="0" t="n">
        <v>3</v>
      </c>
      <c r="AU33" s="0" t="n">
        <v>2</v>
      </c>
      <c r="AV33" s="0" t="n">
        <v>2</v>
      </c>
      <c r="AW33" s="0">
        <f>N33+O33+P33</f>
        <v/>
      </c>
      <c r="AX33" s="0" t="n">
        <v>2</v>
      </c>
      <c r="AY33" s="0" t="n">
        <v>0.65</v>
      </c>
      <c r="AZ33" s="0" t="n">
        <v>0.660714285714286</v>
      </c>
      <c r="BA33" s="0" t="n">
        <v>0.5</v>
      </c>
      <c r="BB33" s="0">
        <f>ROUND((AX33/2*0.4+AY33/1.5*0.3+AZ33/1*0.2+BA33/0.5*0.1)*100,2)</f>
        <v/>
      </c>
      <c r="BC33" s="0">
        <f>ROUND(AC33+AH33+AI33+AL33+AQ33+AS33+AW33+(BB33/100*5),2)</f>
        <v/>
      </c>
      <c r="BD33" s="0">
        <f>IF(BC33&lt;=20,"极弱",IF(BC33&lt;=40,"偏弱",IF(BC33&lt;=60,"中等",IF(BC33&lt;=80,"较强","卓越"))))</f>
        <v/>
      </c>
      <c r="BH33" s="0" t="inlineStr">
        <is>
          <t>视频号/快手</t>
        </is>
      </c>
    </row>
    <row r="34">
      <c r="A34" s="0" t="inlineStr">
        <is>
          <t>33</t>
        </is>
      </c>
      <c r="B34" s="0" t="inlineStr">
        <is>
          <t>王府育儿师</t>
        </is>
      </c>
      <c r="C34" s="0" t="inlineStr">
        <is>
          <t>file:///Users/mr.hu/Desktop/爆款排名/10.31剧本_txt/王府育儿师.txt</t>
        </is>
      </c>
      <c r="E34" s="0" t="n">
        <v>26.22</v>
      </c>
      <c r="F34" s="0" t="n">
        <v>21</v>
      </c>
      <c r="G34" s="0">
        <f>IF(E34&lt;=8,"15–20集",IF(E34&lt;=20,"20–30集","30–40集"))</f>
        <v/>
      </c>
      <c r="H34" s="0" t="inlineStr">
        <is>
          <t>女频</t>
        </is>
      </c>
      <c r="I34" s="0" t="inlineStr">
        <is>
          <t>古代</t>
        </is>
      </c>
      <c r="J34" s="0" t="inlineStr">
        <is>
          <t>古代权谋/科举</t>
        </is>
      </c>
      <c r="K34" s="0" t="inlineStr">
        <is>
          <t>武侠动作</t>
        </is>
      </c>
      <c r="L34" s="0" t="n">
        <v>4</v>
      </c>
      <c r="M34" s="0" t="n">
        <v>7</v>
      </c>
      <c r="N34" s="0" t="inlineStr">
        <is>
          <t>女性/下沉/45+</t>
        </is>
      </c>
      <c r="O34" s="0" t="inlineStr">
        <is>
          <t>周末黄金</t>
        </is>
      </c>
      <c r="P34" s="0" t="inlineStr">
        <is>
          <t>反转爽点</t>
        </is>
      </c>
      <c r="Q34" s="0" t="n">
        <v>3</v>
      </c>
      <c r="R34" s="0" t="n">
        <v>3</v>
      </c>
      <c r="S34" s="0" t="n">
        <v>3</v>
      </c>
      <c r="T34" s="0" t="n">
        <v>1</v>
      </c>
      <c r="U34" s="0" t="n">
        <v>2</v>
      </c>
      <c r="V34" s="0" t="n">
        <v>2</v>
      </c>
      <c r="W34" s="0" t="n">
        <v>1</v>
      </c>
      <c r="X34" s="0" t="n">
        <v>1</v>
      </c>
      <c r="Y34" s="0" t="n">
        <v>4</v>
      </c>
      <c r="Z34" s="0" t="n">
        <v>4</v>
      </c>
      <c r="AA34" s="0" t="n">
        <v>2</v>
      </c>
      <c r="AB34" s="0" t="n">
        <v>2</v>
      </c>
      <c r="AC34" s="0">
        <f>Y34+Z34+AA34+AB34</f>
        <v/>
      </c>
      <c r="AD34" s="0" t="n">
        <v>5</v>
      </c>
      <c r="AE34" s="0" t="n">
        <v>6</v>
      </c>
      <c r="AF34" s="0" t="n">
        <v>3</v>
      </c>
      <c r="AG34" s="0" t="n">
        <v>1</v>
      </c>
      <c r="AH34" s="0">
        <f>AD34+AE34+AF34+AG34</f>
        <v/>
      </c>
      <c r="AI34" s="0">
        <f>Q34+R34+S34+T34</f>
        <v/>
      </c>
      <c r="AJ34" s="0" t="n">
        <v>3</v>
      </c>
      <c r="AL34" s="0">
        <f>AJ34+U34+V34+W34+X34</f>
        <v/>
      </c>
      <c r="AM34" s="0" t="n">
        <v>9.15</v>
      </c>
      <c r="AN34" s="0" t="n">
        <v>11.44</v>
      </c>
      <c r="AO34" s="0" t="n">
        <v>50</v>
      </c>
      <c r="AP34" s="0" t="n">
        <v>100</v>
      </c>
      <c r="AQ34" s="0">
        <f>ROUND((MIN(AM34,10)/10*8)+(MIN(AN34,10)/10*6)+(MIN(AO34,10)/10*4)+(MIN(AP34,10)/10*2),2)</f>
        <v/>
      </c>
      <c r="AS34" s="0">
        <f>L34+M34</f>
        <v/>
      </c>
      <c r="AT34" s="0" t="n">
        <v>3</v>
      </c>
      <c r="AU34" s="0" t="n">
        <v>2</v>
      </c>
      <c r="AV34" s="0" t="n">
        <v>3</v>
      </c>
      <c r="AW34" s="0">
        <f>N34+O34+P34</f>
        <v/>
      </c>
      <c r="AX34" s="0" t="n">
        <v>2</v>
      </c>
      <c r="AY34" s="0" t="n">
        <v>1.5</v>
      </c>
      <c r="AZ34" s="0" t="n">
        <v>0.7</v>
      </c>
      <c r="BA34" s="0" t="n">
        <v>0.5</v>
      </c>
      <c r="BB34" s="0">
        <f>ROUND((AX34/2*0.4+AY34/1.5*0.3+AZ34/1*0.2+BA34/0.5*0.1)*100,2)</f>
        <v/>
      </c>
      <c r="BC34" s="0">
        <f>ROUND(AC34+AH34+AI34+AL34+AQ34+AS34+AW34+(BB34/100*5),2)</f>
        <v/>
      </c>
      <c r="BD34" s="0">
        <f>IF(BC34&lt;=20,"极弱",IF(BC34&lt;=40,"偏弱",IF(BC34&lt;=60,"中等",IF(BC34&lt;=80,"较强","卓越"))))</f>
        <v/>
      </c>
      <c r="BH34" s="0" t="inlineStr">
        <is>
          <t>视频号/快手</t>
        </is>
      </c>
    </row>
    <row r="35">
      <c r="A35" s="0" t="inlineStr">
        <is>
          <t>34</t>
        </is>
      </c>
      <c r="B35" s="0" t="inlineStr">
        <is>
          <t>科举：开局发媳妇，我必六元及第</t>
        </is>
      </c>
      <c r="C35" s="0" t="inlineStr">
        <is>
          <t>file:///Users/mr.hu/Desktop/爆款排名/10.31剧本_txt/科举：开局发媳妇，我必六元及第.txt</t>
        </is>
      </c>
      <c r="E35" s="0" t="n">
        <v>14.34</v>
      </c>
      <c r="F35" s="0" t="n">
        <v>11</v>
      </c>
      <c r="G35" s="0">
        <f>IF(E35&lt;=8,"15–20集",IF(E35&lt;=20,"20–30集","30–40集"))</f>
        <v/>
      </c>
      <c r="H35" s="0" t="inlineStr">
        <is>
          <t>男频</t>
        </is>
      </c>
      <c r="I35" s="0" t="inlineStr">
        <is>
          <t>古代</t>
        </is>
      </c>
      <c r="J35" s="0" t="inlineStr">
        <is>
          <t>古代权谋/科举</t>
        </is>
      </c>
      <c r="K35" s="0" t="inlineStr">
        <is>
          <t>古装群像</t>
        </is>
      </c>
      <c r="L35" s="0" t="n">
        <v>5</v>
      </c>
      <c r="M35" s="0" t="n">
        <v>7</v>
      </c>
      <c r="N35" s="0" t="inlineStr">
        <is>
          <t>男性/一二线/18–35</t>
        </is>
      </c>
      <c r="O35" s="0" t="inlineStr">
        <is>
          <t>节假日前后</t>
        </is>
      </c>
      <c r="P35" s="0" t="inlineStr">
        <is>
          <t>反转爽点</t>
        </is>
      </c>
      <c r="Q35" s="0" t="n">
        <v>3</v>
      </c>
      <c r="R35" s="0" t="n">
        <v>3</v>
      </c>
      <c r="S35" s="0" t="n">
        <v>1</v>
      </c>
      <c r="T35" s="0" t="n">
        <v>1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4</v>
      </c>
      <c r="AA35" s="0" t="n">
        <v>0</v>
      </c>
      <c r="AB35" s="0" t="n">
        <v>2</v>
      </c>
      <c r="AC35" s="0">
        <f>Y35+Z35+AA35+AB35</f>
        <v/>
      </c>
      <c r="AD35" s="0" t="n">
        <v>1</v>
      </c>
      <c r="AE35" s="0" t="n">
        <v>3</v>
      </c>
      <c r="AF35" s="0" t="n">
        <v>2</v>
      </c>
      <c r="AG35" s="0" t="n">
        <v>1</v>
      </c>
      <c r="AH35" s="0">
        <f>AD35+AE35+AF35+AG35</f>
        <v/>
      </c>
      <c r="AI35" s="0">
        <f>Q35+R35+S35+T35</f>
        <v/>
      </c>
      <c r="AJ35" s="0" t="n">
        <v>2</v>
      </c>
      <c r="AL35" s="0">
        <f>AJ35+U35+V35+W35+X35</f>
        <v/>
      </c>
      <c r="AM35" s="0" t="n">
        <v>0</v>
      </c>
      <c r="AN35" s="0" t="n">
        <v>4.19</v>
      </c>
      <c r="AO35" s="0" t="n">
        <v>0</v>
      </c>
      <c r="AP35" s="0" t="n">
        <v>12</v>
      </c>
      <c r="AQ35" s="0">
        <f>ROUND((MIN(AM35,10)/10*8)+(MIN(AN35,10)/10*6)+(MIN(AO35,10)/10*4)+(MIN(AP35,10)/10*2),2)</f>
        <v/>
      </c>
      <c r="AS35" s="0">
        <f>L35+M35</f>
        <v/>
      </c>
      <c r="AT35" s="0" t="n">
        <v>3</v>
      </c>
      <c r="AU35" s="0" t="n">
        <v>2</v>
      </c>
      <c r="AV35" s="0" t="n">
        <v>2</v>
      </c>
      <c r="AW35" s="0">
        <f>N35+O35+P35</f>
        <v/>
      </c>
      <c r="AX35" s="0" t="n">
        <v>2</v>
      </c>
      <c r="AY35" s="0" t="n">
        <v>0.6</v>
      </c>
      <c r="AZ35" s="0" t="n">
        <v>0.775</v>
      </c>
      <c r="BA35" s="0" t="n">
        <v>0.5</v>
      </c>
      <c r="BB35" s="0">
        <f>ROUND((AX35/2*0.4+AY35/1.5*0.3+AZ35/1*0.2+BA35/0.5*0.1)*100,2)</f>
        <v/>
      </c>
      <c r="BC35" s="0">
        <f>ROUND(AC35+AH35+AI35+AL35+AQ35+AS35+AW35+(BB35/100*5),2)</f>
        <v/>
      </c>
      <c r="BD35" s="0">
        <f>IF(BC35&lt;=20,"极弱",IF(BC35&lt;=40,"偏弱",IF(BC35&lt;=60,"中等",IF(BC35&lt;=80,"较强","卓越"))))</f>
        <v/>
      </c>
      <c r="BH35" s="0" t="inlineStr">
        <is>
          <t>抖音/快手</t>
        </is>
      </c>
    </row>
    <row r="36">
      <c r="A36" s="0" t="inlineStr">
        <is>
          <t>35</t>
        </is>
      </c>
      <c r="B36" s="0" t="inlineStr">
        <is>
          <t>穿书黄毛头子，开局就霸凌女主？</t>
        </is>
      </c>
      <c r="C36" s="0" t="inlineStr">
        <is>
          <t>file:///Users/mr.hu/Desktop/爆款排名/10.31剧本_txt/穿书黄毛头子，开局就霸凌女主？.txt</t>
        </is>
      </c>
      <c r="E36" s="0" t="n">
        <v>27.44</v>
      </c>
      <c r="F36" s="0" t="n">
        <v>22</v>
      </c>
      <c r="G36" s="0">
        <f>IF(E36&lt;=8,"15–20集",IF(E36&lt;=20,"20–30集","30–40集"))</f>
        <v/>
      </c>
      <c r="H36" s="0" t="inlineStr">
        <is>
          <t>双频</t>
        </is>
      </c>
      <c r="I36" s="0" t="inlineStr">
        <is>
          <t>科幻/奇幻</t>
        </is>
      </c>
      <c r="J36" s="0" t="inlineStr">
        <is>
          <t>职场/商战</t>
        </is>
      </c>
      <c r="K36" s="0" t="inlineStr">
        <is>
          <t>写实都市</t>
        </is>
      </c>
      <c r="L36" s="0" t="n">
        <v>6</v>
      </c>
      <c r="M36" s="0" t="n">
        <v>4</v>
      </c>
      <c r="N36" s="0" t="inlineStr">
        <is>
          <t>男女皆可/一二线/18–35</t>
        </is>
      </c>
      <c r="O36" s="0" t="inlineStr">
        <is>
          <t>周末黄金</t>
        </is>
      </c>
      <c r="P36" s="0" t="inlineStr">
        <is>
          <t>反转爽点</t>
        </is>
      </c>
      <c r="Q36" s="0" t="n">
        <v>3</v>
      </c>
      <c r="R36" s="0" t="n">
        <v>2</v>
      </c>
      <c r="S36" s="0" t="n">
        <v>1</v>
      </c>
      <c r="T36" s="0" t="n">
        <v>1</v>
      </c>
      <c r="U36" s="0" t="n">
        <v>1</v>
      </c>
      <c r="V36" s="0" t="n">
        <v>2</v>
      </c>
      <c r="W36" s="0" t="n">
        <v>0</v>
      </c>
      <c r="X36" s="0" t="n">
        <v>0</v>
      </c>
      <c r="Y36" s="0" t="n">
        <v>2</v>
      </c>
      <c r="Z36" s="0" t="n">
        <v>4</v>
      </c>
      <c r="AA36" s="0" t="n">
        <v>2</v>
      </c>
      <c r="AB36" s="0" t="n">
        <v>2</v>
      </c>
      <c r="AC36" s="0">
        <f>Y36+Z36+AA36+AB36</f>
        <v/>
      </c>
      <c r="AD36" s="0" t="n">
        <v>4</v>
      </c>
      <c r="AE36" s="0" t="n">
        <v>6</v>
      </c>
      <c r="AF36" s="0" t="n">
        <v>2</v>
      </c>
      <c r="AG36" s="0" t="n">
        <v>1</v>
      </c>
      <c r="AH36" s="0">
        <f>AD36+AE36+AF36+AG36</f>
        <v/>
      </c>
      <c r="AI36" s="0">
        <f>Q36+R36+S36+T36</f>
        <v/>
      </c>
      <c r="AJ36" s="0" t="n">
        <v>3</v>
      </c>
      <c r="AL36" s="0">
        <f>AJ36+U36+V36+W36+X36</f>
        <v/>
      </c>
      <c r="AM36" s="0" t="n">
        <v>6.56</v>
      </c>
      <c r="AN36" s="0" t="n">
        <v>54.66</v>
      </c>
      <c r="AO36" s="0" t="n">
        <v>0</v>
      </c>
      <c r="AP36" s="0" t="n">
        <v>100</v>
      </c>
      <c r="AQ36" s="0">
        <f>ROUND((MIN(AM36,10)/10*8)+(MIN(AN36,10)/10*6)+(MIN(AO36,10)/10*4)+(MIN(AP36,10)/10*2),2)</f>
        <v/>
      </c>
      <c r="AS36" s="0">
        <f>L36+M36</f>
        <v/>
      </c>
      <c r="AT36" s="0" t="n">
        <v>3</v>
      </c>
      <c r="AU36" s="0" t="n">
        <v>2</v>
      </c>
      <c r="AV36" s="0" t="n">
        <v>2</v>
      </c>
      <c r="AW36" s="0">
        <f>N36+O36+P36</f>
        <v/>
      </c>
      <c r="AX36" s="0" t="n">
        <v>2</v>
      </c>
      <c r="AY36" s="0" t="n">
        <v>1.5</v>
      </c>
      <c r="AZ36" s="0" t="n">
        <v>0.678571428571428</v>
      </c>
      <c r="BA36" s="0" t="n">
        <v>0.3</v>
      </c>
      <c r="BB36" s="0">
        <f>ROUND((AX36/2*0.4+AY36/1.5*0.3+AZ36/1*0.2+BA36/0.5*0.1)*100,2)</f>
        <v/>
      </c>
      <c r="BC36" s="0">
        <f>ROUND(AC36+AH36+AI36+AL36+AQ36+AS36+AW36+(BB36/100*5),2)</f>
        <v/>
      </c>
      <c r="BD36" s="0">
        <f>IF(BC36&lt;=20,"极弱",IF(BC36&lt;=40,"偏弱",IF(BC36&lt;=60,"中等",IF(BC36&lt;=80,"较强","卓越"))))</f>
        <v/>
      </c>
      <c r="BH36" s="0" t="inlineStr">
        <is>
          <t>抖音/快手</t>
        </is>
      </c>
    </row>
    <row r="37">
      <c r="A37" s="0" t="inlineStr">
        <is>
          <t>36</t>
        </is>
      </c>
      <c r="B37" s="0" t="inlineStr">
        <is>
          <t>穿越古代，我立志当老爷！</t>
        </is>
      </c>
      <c r="C37" s="0" t="inlineStr">
        <is>
          <t>file:///Users/mr.hu/Desktop/爆款排名/10.31剧本_txt/穿越古代，我立志当老爷！.txt</t>
        </is>
      </c>
      <c r="E37" s="0" t="n">
        <v>17.49</v>
      </c>
      <c r="F37" s="0" t="n">
        <v>14</v>
      </c>
      <c r="G37" s="0">
        <f>IF(E37&lt;=8,"15–20集",IF(E37&lt;=20,"20–30集","30–40集"))</f>
        <v/>
      </c>
      <c r="H37" s="0" t="inlineStr">
        <is>
          <t>男频</t>
        </is>
      </c>
      <c r="I37" s="0" t="inlineStr">
        <is>
          <t>古代</t>
        </is>
      </c>
      <c r="J37" s="0" t="inlineStr">
        <is>
          <t>家庭/婚恋</t>
        </is>
      </c>
      <c r="K37" s="0" t="inlineStr">
        <is>
          <t>武侠动作</t>
        </is>
      </c>
      <c r="L37" s="0" t="n">
        <v>4</v>
      </c>
      <c r="M37" s="0" t="n">
        <v>7</v>
      </c>
      <c r="N37" s="0" t="inlineStr">
        <is>
          <t>男性/下沉/18–35</t>
        </is>
      </c>
      <c r="O37" s="0" t="inlineStr">
        <is>
          <t>周末黄金</t>
        </is>
      </c>
      <c r="P37" s="0" t="inlineStr">
        <is>
          <t>反转爽点</t>
        </is>
      </c>
      <c r="Q37" s="0" t="n">
        <v>1</v>
      </c>
      <c r="R37" s="0" t="n">
        <v>2</v>
      </c>
      <c r="S37" s="0" t="n">
        <v>1</v>
      </c>
      <c r="T37" s="0" t="n">
        <v>1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4</v>
      </c>
      <c r="AA37" s="0" t="n">
        <v>2</v>
      </c>
      <c r="AB37" s="0" t="n">
        <v>2</v>
      </c>
      <c r="AC37" s="0">
        <f>Y37+Z37+AA37+AB37</f>
        <v/>
      </c>
      <c r="AD37" s="0" t="n">
        <v>2</v>
      </c>
      <c r="AE37" s="0" t="n">
        <v>5</v>
      </c>
      <c r="AF37" s="0" t="n">
        <v>2</v>
      </c>
      <c r="AG37" s="0" t="n">
        <v>1</v>
      </c>
      <c r="AH37" s="0">
        <f>AD37+AE37+AF37+AG37</f>
        <v/>
      </c>
      <c r="AI37" s="0">
        <f>Q37+R37+S37+T37</f>
        <v/>
      </c>
      <c r="AJ37" s="0" t="n">
        <v>2</v>
      </c>
      <c r="AL37" s="0">
        <f>AJ37+U37+V37+W37+X37</f>
        <v/>
      </c>
      <c r="AM37" s="0" t="n">
        <v>10.29</v>
      </c>
      <c r="AN37" s="0" t="n">
        <v>0</v>
      </c>
      <c r="AO37" s="0" t="n">
        <v>0</v>
      </c>
      <c r="AP37" s="0" t="n">
        <v>24</v>
      </c>
      <c r="AQ37" s="0">
        <f>ROUND((MIN(AM37,10)/10*8)+(MIN(AN37,10)/10*6)+(MIN(AO37,10)/10*4)+(MIN(AP37,10)/10*2),2)</f>
        <v/>
      </c>
      <c r="AS37" s="0">
        <f>L37+M37</f>
        <v/>
      </c>
      <c r="AT37" s="0" t="n">
        <v>3</v>
      </c>
      <c r="AU37" s="0" t="n">
        <v>2</v>
      </c>
      <c r="AV37" s="0" t="n">
        <v>2</v>
      </c>
      <c r="AW37" s="0">
        <f>N37+O37+P37</f>
        <v/>
      </c>
      <c r="AX37" s="0" t="n">
        <v>2</v>
      </c>
      <c r="AY37" s="0" t="n">
        <v>1.3</v>
      </c>
      <c r="AZ37" s="0" t="n">
        <v>0.7</v>
      </c>
      <c r="BA37" s="0" t="n">
        <v>0.5</v>
      </c>
      <c r="BB37" s="0">
        <f>ROUND((AX37/2*0.4+AY37/1.5*0.3+AZ37/1*0.2+BA37/0.5*0.1)*100,2)</f>
        <v/>
      </c>
      <c r="BC37" s="0">
        <f>ROUND(AC37+AH37+AI37+AL37+AQ37+AS37+AW37+(BB37/100*5),2)</f>
        <v/>
      </c>
      <c r="BD37" s="0">
        <f>IF(BC37&lt;=20,"极弱",IF(BC37&lt;=40,"偏弱",IF(BC37&lt;=60,"中等",IF(BC37&lt;=80,"较强","卓越"))))</f>
        <v/>
      </c>
      <c r="BH37" s="0" t="inlineStr">
        <is>
          <t>视频号/快手</t>
        </is>
      </c>
    </row>
    <row r="38">
      <c r="A38" s="0" t="inlineStr">
        <is>
          <t>37</t>
        </is>
      </c>
      <c r="B38" s="0" t="inlineStr">
        <is>
          <t>穿越女频，我是黄毛我骄傲！</t>
        </is>
      </c>
      <c r="C38" s="0" t="inlineStr">
        <is>
          <t>file:///Users/mr.hu/Desktop/爆款排名/10.31剧本_txt/穿越女频，我是黄毛我骄傲！.txt</t>
        </is>
      </c>
      <c r="E38" s="0" t="n">
        <v>24.25</v>
      </c>
      <c r="F38" s="0" t="n">
        <v>20</v>
      </c>
      <c r="G38" s="0">
        <f>IF(E38&lt;=8,"15–20集",IF(E38&lt;=20,"20–30集","30–40集"))</f>
        <v/>
      </c>
      <c r="H38" s="0" t="inlineStr">
        <is>
          <t>双频</t>
        </is>
      </c>
      <c r="I38" s="0" t="inlineStr">
        <is>
          <t>科幻/奇幻</t>
        </is>
      </c>
      <c r="J38" s="0" t="inlineStr">
        <is>
          <t>职场/商战</t>
        </is>
      </c>
      <c r="K38" s="0" t="inlineStr">
        <is>
          <t>写实都市</t>
        </is>
      </c>
      <c r="L38" s="0" t="n">
        <v>6</v>
      </c>
      <c r="M38" s="0" t="n">
        <v>4</v>
      </c>
      <c r="N38" s="0" t="inlineStr">
        <is>
          <t>男女皆可/下沉/45+</t>
        </is>
      </c>
      <c r="O38" s="0" t="inlineStr">
        <is>
          <t>周末黄金</t>
        </is>
      </c>
      <c r="P38" s="0" t="inlineStr">
        <is>
          <t>甜虐情绪</t>
        </is>
      </c>
      <c r="Q38" s="0" t="n">
        <v>3</v>
      </c>
      <c r="R38" s="0" t="n">
        <v>3</v>
      </c>
      <c r="S38" s="0" t="n">
        <v>3</v>
      </c>
      <c r="T38" s="0" t="n">
        <v>1</v>
      </c>
      <c r="U38" s="0" t="n">
        <v>1</v>
      </c>
      <c r="V38" s="0" t="n">
        <v>2</v>
      </c>
      <c r="W38" s="0" t="n">
        <v>1</v>
      </c>
      <c r="X38" s="0" t="n">
        <v>1</v>
      </c>
      <c r="Y38" s="0" t="n">
        <v>2</v>
      </c>
      <c r="Z38" s="0" t="n">
        <v>4</v>
      </c>
      <c r="AA38" s="0" t="n">
        <v>2</v>
      </c>
      <c r="AB38" s="0" t="n">
        <v>2</v>
      </c>
      <c r="AC38" s="0">
        <f>Y38+Z38+AA38+AB38</f>
        <v/>
      </c>
      <c r="AD38" s="0" t="n">
        <v>5</v>
      </c>
      <c r="AE38" s="0" t="n">
        <v>4</v>
      </c>
      <c r="AF38" s="0" t="n">
        <v>2</v>
      </c>
      <c r="AG38" s="0" t="n">
        <v>0</v>
      </c>
      <c r="AH38" s="0">
        <f>AD38+AE38+AF38+AG38</f>
        <v/>
      </c>
      <c r="AI38" s="0">
        <f>Q38+R38+S38+T38</f>
        <v/>
      </c>
      <c r="AJ38" s="0" t="n">
        <v>3</v>
      </c>
      <c r="AL38" s="0">
        <f>AJ38+U38+V38+W38+X38</f>
        <v/>
      </c>
      <c r="AM38" s="0" t="n">
        <v>1.65</v>
      </c>
      <c r="AN38" s="0" t="n">
        <v>3.71</v>
      </c>
      <c r="AO38" s="0" t="n">
        <v>0</v>
      </c>
      <c r="AP38" s="0" t="n">
        <v>12</v>
      </c>
      <c r="AQ38" s="0">
        <f>ROUND((MIN(AM38,10)/10*8)+(MIN(AN38,10)/10*6)+(MIN(AO38,10)/10*4)+(MIN(AP38,10)/10*2),2)</f>
        <v/>
      </c>
      <c r="AS38" s="0">
        <f>L38+M38</f>
        <v/>
      </c>
      <c r="AT38" s="0" t="n">
        <v>4</v>
      </c>
      <c r="AU38" s="0" t="n">
        <v>2</v>
      </c>
      <c r="AV38" s="0" t="n">
        <v>2</v>
      </c>
      <c r="AW38" s="0">
        <f>N38+O38+P38</f>
        <v/>
      </c>
      <c r="AX38" s="0" t="n">
        <v>2</v>
      </c>
      <c r="AY38" s="0" t="n">
        <v>1.15</v>
      </c>
      <c r="AZ38" s="0" t="n">
        <v>0.678571428571428</v>
      </c>
      <c r="BA38" s="0" t="n">
        <v>0.5</v>
      </c>
      <c r="BB38" s="0">
        <f>ROUND((AX38/2*0.4+AY38/1.5*0.3+AZ38/1*0.2+BA38/0.5*0.1)*100,2)</f>
        <v/>
      </c>
      <c r="BC38" s="0">
        <f>ROUND(AC38+AH38+AI38+AL38+AQ38+AS38+AW38+(BB38/100*5),2)</f>
        <v/>
      </c>
      <c r="BD38" s="0">
        <f>IF(BC38&lt;=20,"极弱",IF(BC38&lt;=40,"偏弱",IF(BC38&lt;=60,"中等",IF(BC38&lt;=80,"较强","卓越"))))</f>
        <v/>
      </c>
      <c r="BH38" s="0" t="inlineStr">
        <is>
          <t>视频号/快手</t>
        </is>
      </c>
    </row>
    <row r="39">
      <c r="A39" s="0" t="inlineStr">
        <is>
          <t>38</t>
        </is>
      </c>
      <c r="B39" s="0" t="inlineStr">
        <is>
          <t>系统让我躺赢，直播逼我整活</t>
        </is>
      </c>
      <c r="C39" s="0" t="inlineStr">
        <is>
          <t>file:///Users/mr.hu/Desktop/爆款排名/10.31剧本_txt/系统让我躺赢，直播逼我整活.txt</t>
        </is>
      </c>
      <c r="E39" s="0" t="n">
        <v>22.26</v>
      </c>
      <c r="F39" s="0" t="n">
        <v>18</v>
      </c>
      <c r="G39" s="0">
        <f>IF(E39&lt;=8,"15–20集",IF(E39&lt;=20,"20–30集","30–40集"))</f>
        <v/>
      </c>
      <c r="H39" s="0" t="inlineStr">
        <is>
          <t>男频</t>
        </is>
      </c>
      <c r="I39" s="0" t="inlineStr">
        <is>
          <t>现代</t>
        </is>
      </c>
      <c r="J39" s="0" t="inlineStr">
        <is>
          <t>职场/商战</t>
        </is>
      </c>
      <c r="K39" s="0" t="inlineStr">
        <is>
          <t>写实都市</t>
        </is>
      </c>
      <c r="L39" s="0" t="n">
        <v>4</v>
      </c>
      <c r="M39" s="0" t="n">
        <v>5</v>
      </c>
      <c r="N39" s="0" t="inlineStr">
        <is>
          <t>男性/一二线/18–35</t>
        </is>
      </c>
      <c r="O39" s="0" t="inlineStr">
        <is>
          <t>周末黄金</t>
        </is>
      </c>
      <c r="P39" s="0" t="inlineStr">
        <is>
          <t>反转爽点</t>
        </is>
      </c>
      <c r="Q39" s="0" t="n">
        <v>3</v>
      </c>
      <c r="R39" s="0" t="n">
        <v>3</v>
      </c>
      <c r="S39" s="0" t="n">
        <v>1</v>
      </c>
      <c r="T39" s="0" t="n">
        <v>1</v>
      </c>
      <c r="U39" s="0" t="n">
        <v>1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0</v>
      </c>
      <c r="AB39" s="0" t="n">
        <v>1</v>
      </c>
      <c r="AC39" s="0">
        <f>Y39+Z39+AA39+AB39</f>
        <v/>
      </c>
      <c r="AD39" s="0" t="n">
        <v>2</v>
      </c>
      <c r="AE39" s="0" t="n">
        <v>3</v>
      </c>
      <c r="AF39" s="0" t="n">
        <v>2</v>
      </c>
      <c r="AG39" s="0" t="n">
        <v>1</v>
      </c>
      <c r="AH39" s="0">
        <f>AD39+AE39+AF39+AG39</f>
        <v/>
      </c>
      <c r="AI39" s="0">
        <f>Q39+R39+S39+T39</f>
        <v/>
      </c>
      <c r="AJ39" s="0" t="n">
        <v>3</v>
      </c>
      <c r="AL39" s="0">
        <f>AJ39+U39+V39+W39+X39</f>
        <v/>
      </c>
      <c r="AM39" s="0" t="n">
        <v>0</v>
      </c>
      <c r="AN39" s="0" t="n">
        <v>4.04</v>
      </c>
      <c r="AO39" s="0" t="n">
        <v>0</v>
      </c>
      <c r="AP39" s="0" t="n">
        <v>12</v>
      </c>
      <c r="AQ39" s="0">
        <f>ROUND((MIN(AM39,10)/10*8)+(MIN(AN39,10)/10*6)+(MIN(AO39,10)/10*4)+(MIN(AP39,10)/10*2),2)</f>
        <v/>
      </c>
      <c r="AS39" s="0">
        <f>L39+M39</f>
        <v/>
      </c>
      <c r="AT39" s="0" t="n">
        <v>3</v>
      </c>
      <c r="AU39" s="0" t="n">
        <v>2</v>
      </c>
      <c r="AV39" s="0" t="n">
        <v>2</v>
      </c>
      <c r="AW39" s="0">
        <f>N39+O39+P39</f>
        <v/>
      </c>
      <c r="AX39" s="0" t="n">
        <v>2</v>
      </c>
      <c r="AY39" s="0" t="n">
        <v>1.25</v>
      </c>
      <c r="AZ39" s="0" t="n">
        <v>0.585714285714286</v>
      </c>
      <c r="BA39" s="0" t="n">
        <v>0.3</v>
      </c>
      <c r="BB39" s="0">
        <f>ROUND((AX39/2*0.4+AY39/1.5*0.3+AZ39/1*0.2+BA39/0.5*0.1)*100,2)</f>
        <v/>
      </c>
      <c r="BC39" s="0">
        <f>ROUND(AC39+AH39+AI39+AL39+AQ39+AS39+AW39+(BB39/100*5),2)</f>
        <v/>
      </c>
      <c r="BD39" s="0">
        <f>IF(BC39&lt;=20,"极弱",IF(BC39&lt;=40,"偏弱",IF(BC39&lt;=60,"中等",IF(BC39&lt;=80,"较强","卓越"))))</f>
        <v/>
      </c>
      <c r="BH39" s="0" t="inlineStr">
        <is>
          <t>抖音/快手</t>
        </is>
      </c>
    </row>
    <row r="40">
      <c r="A40" s="0" t="inlineStr">
        <is>
          <t>39</t>
        </is>
      </c>
      <c r="B40" s="0" t="inlineStr">
        <is>
          <t>绑定系统后，国家帮我攻略女神</t>
        </is>
      </c>
      <c r="C40" s="0" t="inlineStr">
        <is>
          <t>file:///Users/mr.hu/Desktop/爆款排名/10.31剧本_txt/绑定系统后，国家帮我攻略女神.txt</t>
        </is>
      </c>
      <c r="E40" s="0" t="n">
        <v>35.72</v>
      </c>
      <c r="F40" s="0" t="n">
        <v>29</v>
      </c>
      <c r="G40" s="0">
        <f>IF(E40&lt;=8,"15–20集",IF(E40&lt;=20,"20–30集","30–40集"))</f>
        <v/>
      </c>
      <c r="H40" s="0" t="inlineStr">
        <is>
          <t>男频</t>
        </is>
      </c>
      <c r="I40" s="0" t="inlineStr">
        <is>
          <t>科幻/奇幻</t>
        </is>
      </c>
      <c r="J40" s="0" t="inlineStr">
        <is>
          <t>玄幻修仙</t>
        </is>
      </c>
      <c r="K40" s="0" t="inlineStr">
        <is>
          <t>武侠动作</t>
        </is>
      </c>
      <c r="L40" s="0" t="n">
        <v>5</v>
      </c>
      <c r="M40" s="0" t="n">
        <v>7</v>
      </c>
      <c r="N40" s="0" t="inlineStr">
        <is>
          <t>男性/一二线/45+</t>
        </is>
      </c>
      <c r="O40" s="0" t="inlineStr">
        <is>
          <t>周末黄金</t>
        </is>
      </c>
      <c r="P40" s="0" t="inlineStr">
        <is>
          <t>反转爽点</t>
        </is>
      </c>
      <c r="Q40" s="0" t="n">
        <v>3</v>
      </c>
      <c r="R40" s="0" t="n">
        <v>3</v>
      </c>
      <c r="S40" s="0" t="n">
        <v>3</v>
      </c>
      <c r="T40" s="0" t="n">
        <v>1</v>
      </c>
      <c r="U40" s="0" t="n">
        <v>1</v>
      </c>
      <c r="V40" s="0" t="n">
        <v>2</v>
      </c>
      <c r="W40" s="0" t="n">
        <v>1</v>
      </c>
      <c r="X40" s="0" t="n">
        <v>1</v>
      </c>
      <c r="Y40" s="0" t="n">
        <v>1</v>
      </c>
      <c r="Z40" s="0" t="n">
        <v>4</v>
      </c>
      <c r="AA40" s="0" t="n">
        <v>2</v>
      </c>
      <c r="AB40" s="0" t="n">
        <v>2</v>
      </c>
      <c r="AC40" s="0">
        <f>Y40+Z40+AA40+AB40</f>
        <v/>
      </c>
      <c r="AD40" s="0" t="n">
        <v>4</v>
      </c>
      <c r="AE40" s="0" t="n">
        <v>5</v>
      </c>
      <c r="AF40" s="0" t="n">
        <v>2</v>
      </c>
      <c r="AG40" s="0" t="n">
        <v>1</v>
      </c>
      <c r="AH40" s="0">
        <f>AD40+AE40+AF40+AG40</f>
        <v/>
      </c>
      <c r="AI40" s="0">
        <f>Q40+R40+S40+T40</f>
        <v/>
      </c>
      <c r="AJ40" s="0" t="n">
        <v>2</v>
      </c>
      <c r="AL40" s="0">
        <f>AJ40+U40+V40+W40+X40</f>
        <v/>
      </c>
      <c r="AM40" s="0" t="n">
        <v>1.12</v>
      </c>
      <c r="AN40" s="0" t="n">
        <v>5.04</v>
      </c>
      <c r="AO40" s="0" t="n">
        <v>0</v>
      </c>
      <c r="AP40" s="0" t="n">
        <v>36</v>
      </c>
      <c r="AQ40" s="0">
        <f>ROUND((MIN(AM40,10)/10*8)+(MIN(AN40,10)/10*6)+(MIN(AO40,10)/10*4)+(MIN(AP40,10)/10*2),2)</f>
        <v/>
      </c>
      <c r="AS40" s="0">
        <f>L40+M40</f>
        <v/>
      </c>
      <c r="AT40" s="0" t="n">
        <v>4</v>
      </c>
      <c r="AU40" s="0" t="n">
        <v>2</v>
      </c>
      <c r="AV40" s="0" t="n">
        <v>3</v>
      </c>
      <c r="AW40" s="0">
        <f>N40+O40+P40</f>
        <v/>
      </c>
      <c r="AX40" s="0" t="n">
        <v>2</v>
      </c>
      <c r="AY40" s="0" t="n">
        <v>1.5</v>
      </c>
      <c r="AZ40" s="0" t="n">
        <v>0.775</v>
      </c>
      <c r="BA40" s="0" t="n">
        <v>0.5</v>
      </c>
      <c r="BB40" s="0">
        <f>ROUND((AX40/2*0.4+AY40/1.5*0.3+AZ40/1*0.2+BA40/0.5*0.1)*100,2)</f>
        <v/>
      </c>
      <c r="BC40" s="0">
        <f>ROUND(AC40+AH40+AI40+AL40+AQ40+AS40+AW40+(BB40/100*5),2)</f>
        <v/>
      </c>
      <c r="BD40" s="0">
        <f>IF(BC40&lt;=20,"极弱",IF(BC40&lt;=40,"偏弱",IF(BC40&lt;=60,"中等",IF(BC40&lt;=80,"较强","卓越"))))</f>
        <v/>
      </c>
      <c r="BH40" s="0" t="inlineStr">
        <is>
          <t>抖音/快手</t>
        </is>
      </c>
    </row>
    <row r="41">
      <c r="A41" s="0" t="inlineStr">
        <is>
          <t>40</t>
        </is>
      </c>
      <c r="B41" s="0" t="inlineStr">
        <is>
          <t>舔狗舔到最后拥有一切</t>
        </is>
      </c>
      <c r="C41" s="0" t="inlineStr">
        <is>
          <t>file:///Users/mr.hu/Desktop/爆款排名/10.31剧本_txt/舔狗舔到最后拥有一切.txt</t>
        </is>
      </c>
      <c r="E41" s="0" t="n">
        <v>21.12</v>
      </c>
      <c r="F41" s="0" t="n">
        <v>17</v>
      </c>
      <c r="G41" s="0">
        <f>IF(E41&lt;=8,"15–20集",IF(E41&lt;=20,"20–30集","30–40集"))</f>
        <v/>
      </c>
      <c r="H41" s="0" t="inlineStr">
        <is>
          <t>男频</t>
        </is>
      </c>
      <c r="I41" s="0" t="inlineStr">
        <is>
          <t>科幻/奇幻</t>
        </is>
      </c>
      <c r="J41" s="0" t="inlineStr">
        <is>
          <t>职场/商战</t>
        </is>
      </c>
      <c r="K41" s="0" t="inlineStr">
        <is>
          <t>写实都市</t>
        </is>
      </c>
      <c r="L41" s="0" t="n">
        <v>8</v>
      </c>
      <c r="M41" s="0" t="n">
        <v>4</v>
      </c>
      <c r="N41" s="0" t="inlineStr">
        <is>
          <t>男性/一二线/45+</t>
        </is>
      </c>
      <c r="O41" s="0" t="inlineStr">
        <is>
          <t>周末黄金</t>
        </is>
      </c>
      <c r="P41" s="0" t="inlineStr">
        <is>
          <t>反转爽点</t>
        </is>
      </c>
      <c r="Q41" s="0" t="n">
        <v>3</v>
      </c>
      <c r="R41" s="0" t="n">
        <v>2</v>
      </c>
      <c r="S41" s="0" t="n">
        <v>3</v>
      </c>
      <c r="T41" s="0" t="n">
        <v>1</v>
      </c>
      <c r="U41" s="0" t="n">
        <v>1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4</v>
      </c>
      <c r="AA41" s="0" t="n">
        <v>0</v>
      </c>
      <c r="AB41" s="0" t="n">
        <v>2</v>
      </c>
      <c r="AC41" s="0">
        <f>Y41+Z41+AA41+AB41</f>
        <v/>
      </c>
      <c r="AD41" s="0" t="n">
        <v>4</v>
      </c>
      <c r="AE41" s="0" t="n">
        <v>6</v>
      </c>
      <c r="AF41" s="0" t="n">
        <v>3</v>
      </c>
      <c r="AG41" s="0" t="n">
        <v>0</v>
      </c>
      <c r="AH41" s="0">
        <f>AD41+AE41+AF41+AG41</f>
        <v/>
      </c>
      <c r="AI41" s="0">
        <f>Q41+R41+S41+T41</f>
        <v/>
      </c>
      <c r="AJ41" s="0" t="n">
        <v>3</v>
      </c>
      <c r="AL41" s="0">
        <f>AJ41+U41+V41+W41+X41</f>
        <v/>
      </c>
      <c r="AM41" s="0" t="n">
        <v>0.95</v>
      </c>
      <c r="AN41" s="0" t="n">
        <v>25.57</v>
      </c>
      <c r="AO41" s="0" t="n">
        <v>0</v>
      </c>
      <c r="AP41" s="0" t="n">
        <v>0</v>
      </c>
      <c r="AQ41" s="0">
        <f>ROUND((MIN(AM41,10)/10*8)+(MIN(AN41,10)/10*6)+(MIN(AO41,10)/10*4)+(MIN(AP41,10)/10*2),2)</f>
        <v/>
      </c>
      <c r="AS41" s="0">
        <f>L41+M41</f>
        <v/>
      </c>
      <c r="AT41" s="0" t="n">
        <v>3</v>
      </c>
      <c r="AU41" s="0" t="n">
        <v>2</v>
      </c>
      <c r="AV41" s="0" t="n">
        <v>2</v>
      </c>
      <c r="AW41" s="0">
        <f>N41+O41+P41</f>
        <v/>
      </c>
      <c r="AX41" s="0" t="n">
        <v>2</v>
      </c>
      <c r="AY41" s="0" t="n">
        <v>0.5</v>
      </c>
      <c r="AZ41" s="0" t="n">
        <v>0.828571428571429</v>
      </c>
      <c r="BA41" s="0" t="n">
        <v>0.5</v>
      </c>
      <c r="BB41" s="0">
        <f>ROUND((AX41/2*0.4+AY41/1.5*0.3+AZ41/1*0.2+BA41/0.5*0.1)*100,2)</f>
        <v/>
      </c>
      <c r="BC41" s="0">
        <f>ROUND(AC41+AH41+AI41+AL41+AQ41+AS41+AW41+(BB41/100*5),2)</f>
        <v/>
      </c>
      <c r="BD41" s="0">
        <f>IF(BC41&lt;=20,"极弱",IF(BC41&lt;=40,"偏弱",IF(BC41&lt;=60,"中等",IF(BC41&lt;=80,"较强","卓越"))))</f>
        <v/>
      </c>
      <c r="BH41" s="0" t="inlineStr">
        <is>
          <t>抖音/快手</t>
        </is>
      </c>
    </row>
    <row r="42">
      <c r="A42" s="0" t="inlineStr">
        <is>
          <t>41</t>
        </is>
      </c>
      <c r="B42" s="0" t="inlineStr">
        <is>
          <t>被甩后继承全能系统，震惊世界</t>
        </is>
      </c>
      <c r="C42" s="0" t="inlineStr">
        <is>
          <t>file:///Users/mr.hu/Desktop/爆款排名/10.31剧本_txt/被甩后继承全能系统，震惊世界.txt</t>
        </is>
      </c>
      <c r="E42" s="0" t="n">
        <v>31.27</v>
      </c>
      <c r="F42" s="0" t="n">
        <v>26</v>
      </c>
      <c r="G42" s="0">
        <f>IF(E42&lt;=8,"15–20集",IF(E42&lt;=20,"20–30集","30–40集"))</f>
        <v/>
      </c>
      <c r="H42" s="0" t="inlineStr">
        <is>
          <t>男频</t>
        </is>
      </c>
      <c r="I42" s="0" t="inlineStr">
        <is>
          <t>现代</t>
        </is>
      </c>
      <c r="J42" s="0" t="inlineStr">
        <is>
          <t>职场/商战</t>
        </is>
      </c>
      <c r="K42" s="0" t="inlineStr">
        <is>
          <t>写实都市</t>
        </is>
      </c>
      <c r="L42" s="0" t="n">
        <v>5</v>
      </c>
      <c r="M42" s="0" t="n">
        <v>7</v>
      </c>
      <c r="N42" s="0" t="inlineStr">
        <is>
          <t>男性/一二线/45+</t>
        </is>
      </c>
      <c r="O42" s="0" t="inlineStr">
        <is>
          <t>周末黄金</t>
        </is>
      </c>
      <c r="P42" s="0" t="inlineStr">
        <is>
          <t>反转爽点</t>
        </is>
      </c>
      <c r="Q42" s="0" t="n">
        <v>3</v>
      </c>
      <c r="R42" s="0" t="n">
        <v>3</v>
      </c>
      <c r="S42" s="0" t="n">
        <v>2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4</v>
      </c>
      <c r="AA42" s="0" t="n">
        <v>2</v>
      </c>
      <c r="AB42" s="0" t="n">
        <v>2</v>
      </c>
      <c r="AC42" s="0">
        <f>Y42+Z42+AA42+AB42</f>
        <v/>
      </c>
      <c r="AD42" s="0" t="n">
        <v>4</v>
      </c>
      <c r="AE42" s="0" t="n">
        <v>3</v>
      </c>
      <c r="AF42" s="0" t="n">
        <v>3</v>
      </c>
      <c r="AG42" s="0" t="n">
        <v>0</v>
      </c>
      <c r="AH42" s="0">
        <f>AD42+AE42+AF42+AG42</f>
        <v/>
      </c>
      <c r="AI42" s="0">
        <f>Q42+R42+S42+T42</f>
        <v/>
      </c>
      <c r="AJ42" s="0" t="n">
        <v>3</v>
      </c>
      <c r="AL42" s="0">
        <f>AJ42+U42+V42+W42+X42</f>
        <v/>
      </c>
      <c r="AM42" s="0" t="n">
        <v>0.64</v>
      </c>
      <c r="AN42" s="0" t="n">
        <v>0.96</v>
      </c>
      <c r="AO42" s="0" t="n">
        <v>25</v>
      </c>
      <c r="AP42" s="0" t="n">
        <v>0</v>
      </c>
      <c r="AQ42" s="0">
        <f>ROUND((MIN(AM42,10)/10*8)+(MIN(AN42,10)/10*6)+(MIN(AO42,10)/10*4)+(MIN(AP42,10)/10*2),2)</f>
        <v/>
      </c>
      <c r="AS42" s="0">
        <f>L42+M42</f>
        <v/>
      </c>
      <c r="AT42" s="0" t="n">
        <v>3</v>
      </c>
      <c r="AU42" s="0" t="n">
        <v>2</v>
      </c>
      <c r="AV42" s="0" t="n">
        <v>2</v>
      </c>
      <c r="AW42" s="0">
        <f>N42+O42+P42</f>
        <v/>
      </c>
      <c r="AX42" s="0" t="n">
        <v>2</v>
      </c>
      <c r="AY42" s="0" t="n">
        <v>1.2</v>
      </c>
      <c r="AZ42" s="0" t="n">
        <v>0.775</v>
      </c>
      <c r="BA42" s="0" t="n">
        <v>0.5</v>
      </c>
      <c r="BB42" s="0">
        <f>ROUND((AX42/2*0.4+AY42/1.5*0.3+AZ42/1*0.2+BA42/0.5*0.1)*100,2)</f>
        <v/>
      </c>
      <c r="BC42" s="0">
        <f>ROUND(AC42+AH42+AI42+AL42+AQ42+AS42+AW42+(BB42/100*5),2)</f>
        <v/>
      </c>
      <c r="BD42" s="0">
        <f>IF(BC42&lt;=20,"极弱",IF(BC42&lt;=40,"偏弱",IF(BC42&lt;=60,"中等",IF(BC42&lt;=80,"较强","卓越"))))</f>
        <v/>
      </c>
      <c r="BH42" s="0" t="inlineStr">
        <is>
          <t>抖音/快手</t>
        </is>
      </c>
    </row>
    <row r="43">
      <c r="A43" s="0" t="inlineStr">
        <is>
          <t>42</t>
        </is>
      </c>
      <c r="B43" s="0" t="inlineStr">
        <is>
          <t>这个皇帝没素质</t>
        </is>
      </c>
      <c r="C43" s="0" t="inlineStr">
        <is>
          <t>file:///Users/mr.hu/Desktop/爆款排名/10.31剧本_txt/这个皇帝没素质.txt</t>
        </is>
      </c>
      <c r="E43" s="0" t="n">
        <v>24.16</v>
      </c>
      <c r="F43" s="0" t="n">
        <v>20</v>
      </c>
      <c r="G43" s="0">
        <f>IF(E43&lt;=8,"15–20集",IF(E43&lt;=20,"20–30集","30–40集"))</f>
        <v/>
      </c>
      <c r="H43" s="0" t="inlineStr">
        <is>
          <t>男频</t>
        </is>
      </c>
      <c r="I43" s="0" t="inlineStr">
        <is>
          <t>古代</t>
        </is>
      </c>
      <c r="J43" s="0" t="inlineStr">
        <is>
          <t>古代权谋/科举</t>
        </is>
      </c>
      <c r="K43" s="0" t="inlineStr">
        <is>
          <t>武侠动作</t>
        </is>
      </c>
      <c r="L43" s="0" t="n">
        <v>4</v>
      </c>
      <c r="M43" s="0" t="n">
        <v>7</v>
      </c>
      <c r="N43" s="0" t="inlineStr">
        <is>
          <t>男性/一二线/18–35</t>
        </is>
      </c>
      <c r="O43" s="0" t="inlineStr">
        <is>
          <t>周末黄金</t>
        </is>
      </c>
      <c r="P43" s="0" t="inlineStr">
        <is>
          <t>反转爽点</t>
        </is>
      </c>
      <c r="Q43" s="0" t="n">
        <v>3</v>
      </c>
      <c r="R43" s="0" t="n">
        <v>2</v>
      </c>
      <c r="S43" s="0" t="n">
        <v>0</v>
      </c>
      <c r="T43" s="0" t="n">
        <v>0</v>
      </c>
      <c r="U43" s="0" t="n">
        <v>1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4</v>
      </c>
      <c r="AA43" s="0" t="n">
        <v>2</v>
      </c>
      <c r="AB43" s="0" t="n">
        <v>1</v>
      </c>
      <c r="AC43" s="0">
        <f>Y43+Z43+AA43+AB43</f>
        <v/>
      </c>
      <c r="AD43" s="0" t="n">
        <v>4</v>
      </c>
      <c r="AE43" s="0" t="n">
        <v>4</v>
      </c>
      <c r="AF43" s="0" t="n">
        <v>2</v>
      </c>
      <c r="AG43" s="0" t="n">
        <v>1</v>
      </c>
      <c r="AH43" s="0">
        <f>AD43+AE43+AF43+AG43</f>
        <v/>
      </c>
      <c r="AI43" s="0">
        <f>Q43+R43+S43+T43</f>
        <v/>
      </c>
      <c r="AJ43" s="0" t="n">
        <v>3</v>
      </c>
      <c r="AL43" s="0">
        <f>AJ43+U43+V43+W43+X43</f>
        <v/>
      </c>
      <c r="AM43" s="0" t="n">
        <v>0.83</v>
      </c>
      <c r="AN43" s="0" t="n">
        <v>7.45</v>
      </c>
      <c r="AO43" s="0" t="n">
        <v>0</v>
      </c>
      <c r="AP43" s="0" t="n">
        <v>24</v>
      </c>
      <c r="AQ43" s="0">
        <f>ROUND((MIN(AM43,10)/10*8)+(MIN(AN43,10)/10*6)+(MIN(AO43,10)/10*4)+(MIN(AP43,10)/10*2),2)</f>
        <v/>
      </c>
      <c r="AS43" s="0">
        <f>L43+M43</f>
        <v/>
      </c>
      <c r="AT43" s="0" t="n">
        <v>3</v>
      </c>
      <c r="AU43" s="0" t="n">
        <v>2</v>
      </c>
      <c r="AV43" s="0" t="n">
        <v>2</v>
      </c>
      <c r="AW43" s="0">
        <f>N43+O43+P43</f>
        <v/>
      </c>
      <c r="AX43" s="0" t="n">
        <v>2</v>
      </c>
      <c r="AY43" s="0" t="n">
        <v>1</v>
      </c>
      <c r="AZ43" s="0" t="n">
        <v>0.7</v>
      </c>
      <c r="BA43" s="0" t="n">
        <v>0.5</v>
      </c>
      <c r="BB43" s="0">
        <f>ROUND((AX43/2*0.4+AY43/1.5*0.3+AZ43/1*0.2+BA43/0.5*0.1)*100,2)</f>
        <v/>
      </c>
      <c r="BC43" s="0">
        <f>ROUND(AC43+AH43+AI43+AL43+AQ43+AS43+AW43+(BB43/100*5),2)</f>
        <v/>
      </c>
      <c r="BD43" s="0">
        <f>IF(BC43&lt;=20,"极弱",IF(BC43&lt;=40,"偏弱",IF(BC43&lt;=60,"中等",IF(BC43&lt;=80,"较强","卓越"))))</f>
        <v/>
      </c>
      <c r="BH43" s="0" t="inlineStr">
        <is>
          <t>抖音/快手</t>
        </is>
      </c>
    </row>
    <row r="44">
      <c r="A44" s="0" t="inlineStr">
        <is>
          <t>43</t>
        </is>
      </c>
      <c r="B44" s="0" t="inlineStr">
        <is>
          <t>这皇帝一心求死</t>
        </is>
      </c>
      <c r="C44" s="0" t="inlineStr">
        <is>
          <t>file:///Users/mr.hu/Desktop/爆款排名/10.31剧本_txt/这皇帝一心求死.txt</t>
        </is>
      </c>
      <c r="E44" s="0" t="n">
        <v>24.27</v>
      </c>
      <c r="F44" s="0" t="n">
        <v>20</v>
      </c>
      <c r="G44" s="0">
        <f>IF(E44&lt;=8,"15–20集",IF(E44&lt;=20,"20–30集","30–40集"))</f>
        <v/>
      </c>
      <c r="H44" s="0" t="inlineStr">
        <is>
          <t>男频</t>
        </is>
      </c>
      <c r="I44" s="0" t="inlineStr">
        <is>
          <t>古代</t>
        </is>
      </c>
      <c r="J44" s="0" t="inlineStr">
        <is>
          <t>古代权谋/科举</t>
        </is>
      </c>
      <c r="K44" s="0" t="inlineStr">
        <is>
          <t>武侠动作</t>
        </is>
      </c>
      <c r="L44" s="0" t="n">
        <v>6</v>
      </c>
      <c r="M44" s="0" t="n">
        <v>5</v>
      </c>
      <c r="N44" s="0" t="inlineStr">
        <is>
          <t>男性/一二线/18–35</t>
        </is>
      </c>
      <c r="O44" s="0" t="inlineStr">
        <is>
          <t>节假日前后</t>
        </is>
      </c>
      <c r="P44" s="0" t="inlineStr">
        <is>
          <t>反转爽点</t>
        </is>
      </c>
      <c r="Q44" s="0" t="n">
        <v>3</v>
      </c>
      <c r="R44" s="0" t="n">
        <v>3</v>
      </c>
      <c r="S44" s="0" t="n">
        <v>1</v>
      </c>
      <c r="T44" s="0" t="n">
        <v>1</v>
      </c>
      <c r="U44" s="0" t="n">
        <v>1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4</v>
      </c>
      <c r="AA44" s="0" t="n">
        <v>2</v>
      </c>
      <c r="AB44" s="0" t="n">
        <v>2</v>
      </c>
      <c r="AC44" s="0">
        <f>Y44+Z44+AA44+AB44</f>
        <v/>
      </c>
      <c r="AD44" s="0" t="n">
        <v>4</v>
      </c>
      <c r="AE44" s="0" t="n">
        <v>4</v>
      </c>
      <c r="AF44" s="0" t="n">
        <v>2</v>
      </c>
      <c r="AG44" s="0" t="n">
        <v>1</v>
      </c>
      <c r="AH44" s="0">
        <f>AD44+AE44+AF44+AG44</f>
        <v/>
      </c>
      <c r="AI44" s="0">
        <f>Q44+R44+S44+T44</f>
        <v/>
      </c>
      <c r="AJ44" s="0" t="n">
        <v>2</v>
      </c>
      <c r="AL44" s="0">
        <f>AJ44+U44+V44+W44+X44</f>
        <v/>
      </c>
      <c r="AM44" s="0" t="n">
        <v>0.82</v>
      </c>
      <c r="AN44" s="0" t="n">
        <v>3.71</v>
      </c>
      <c r="AO44" s="0" t="n">
        <v>0</v>
      </c>
      <c r="AP44" s="0" t="n">
        <v>0</v>
      </c>
      <c r="AQ44" s="0">
        <f>ROUND((MIN(AM44,10)/10*8)+(MIN(AN44,10)/10*6)+(MIN(AO44,10)/10*4)+(MIN(AP44,10)/10*2),2)</f>
        <v/>
      </c>
      <c r="AS44" s="0">
        <f>L44+M44</f>
        <v/>
      </c>
      <c r="AT44" s="0" t="n">
        <v>3</v>
      </c>
      <c r="AU44" s="0" t="n">
        <v>2</v>
      </c>
      <c r="AV44" s="0" t="n">
        <v>2</v>
      </c>
      <c r="AW44" s="0">
        <f>N44+O44+P44</f>
        <v/>
      </c>
      <c r="AX44" s="0" t="n">
        <v>2</v>
      </c>
      <c r="AY44" s="0" t="n">
        <v>0.9</v>
      </c>
      <c r="AZ44" s="0" t="n">
        <v>0.735714285714286</v>
      </c>
      <c r="BA44" s="0" t="n">
        <v>0.5</v>
      </c>
      <c r="BB44" s="0">
        <f>ROUND((AX44/2*0.4+AY44/1.5*0.3+AZ44/1*0.2+BA44/0.5*0.1)*100,2)</f>
        <v/>
      </c>
      <c r="BC44" s="0">
        <f>ROUND(AC44+AH44+AI44+AL44+AQ44+AS44+AW44+(BB44/100*5),2)</f>
        <v/>
      </c>
      <c r="BD44" s="0">
        <f>IF(BC44&lt;=20,"极弱",IF(BC44&lt;=40,"偏弱",IF(BC44&lt;=60,"中等",IF(BC44&lt;=80,"较强","卓越"))))</f>
        <v/>
      </c>
      <c r="BH44" s="0" t="inlineStr">
        <is>
          <t>抖音/快手</t>
        </is>
      </c>
    </row>
    <row r="45">
      <c r="A45" s="0" t="inlineStr">
        <is>
          <t>44</t>
        </is>
      </c>
      <c r="B45" s="0" t="inlineStr">
        <is>
          <t>逼老祖下山，后果自负！</t>
        </is>
      </c>
      <c r="C45" s="0" t="inlineStr">
        <is>
          <t>file:///Users/mr.hu/Desktop/爆款排名/10.31剧本_txt/逼老祖下山，后果自负！.txt</t>
        </is>
      </c>
      <c r="E45" s="0" t="n">
        <v>20.48</v>
      </c>
      <c r="F45" s="0" t="n">
        <v>17</v>
      </c>
      <c r="G45" s="0">
        <f>IF(E45&lt;=8,"15–20集",IF(E45&lt;=20,"20–30集","30–40集"))</f>
        <v/>
      </c>
      <c r="H45" s="0" t="inlineStr">
        <is>
          <t>男频</t>
        </is>
      </c>
      <c r="I45" s="0" t="inlineStr">
        <is>
          <t>古代</t>
        </is>
      </c>
      <c r="J45" s="0" t="inlineStr">
        <is>
          <t>古代权谋/科举</t>
        </is>
      </c>
      <c r="K45" s="0" t="inlineStr">
        <is>
          <t>武侠动作</t>
        </is>
      </c>
      <c r="L45" s="0" t="n">
        <v>5</v>
      </c>
      <c r="M45" s="0" t="n">
        <v>7</v>
      </c>
      <c r="N45" s="0" t="inlineStr">
        <is>
          <t>男性/下沉/18–35</t>
        </is>
      </c>
      <c r="O45" s="0" t="inlineStr">
        <is>
          <t>周末黄金</t>
        </is>
      </c>
      <c r="P45" s="0" t="inlineStr">
        <is>
          <t>家国叙事</t>
        </is>
      </c>
      <c r="Q45" s="0" t="n">
        <v>3</v>
      </c>
      <c r="R45" s="0" t="n">
        <v>3</v>
      </c>
      <c r="S45" s="0" t="n">
        <v>1</v>
      </c>
      <c r="T45" s="0" t="n">
        <v>1</v>
      </c>
      <c r="U45" s="0" t="n">
        <v>1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4</v>
      </c>
      <c r="AA45" s="0" t="n">
        <v>2</v>
      </c>
      <c r="AB45" s="0" t="n">
        <v>2</v>
      </c>
      <c r="AC45" s="0">
        <f>Y45+Z45+AA45+AB45</f>
        <v/>
      </c>
      <c r="AD45" s="0" t="n">
        <v>4</v>
      </c>
      <c r="AE45" s="0" t="n">
        <v>4</v>
      </c>
      <c r="AF45" s="0" t="n">
        <v>2</v>
      </c>
      <c r="AG45" s="0" t="n">
        <v>0</v>
      </c>
      <c r="AH45" s="0">
        <f>AD45+AE45+AF45+AG45</f>
        <v/>
      </c>
      <c r="AI45" s="0">
        <f>Q45+R45+S45+T45</f>
        <v/>
      </c>
      <c r="AJ45" s="0" t="n">
        <v>3</v>
      </c>
      <c r="AL45" s="0">
        <f>AJ45+U45+V45+W45+X45</f>
        <v/>
      </c>
      <c r="AM45" s="0" t="n">
        <v>3.91</v>
      </c>
      <c r="AN45" s="0" t="n">
        <v>1.46</v>
      </c>
      <c r="AO45" s="0" t="n">
        <v>0</v>
      </c>
      <c r="AP45" s="0" t="n">
        <v>0</v>
      </c>
      <c r="AQ45" s="0">
        <f>ROUND((MIN(AM45,10)/10*8)+(MIN(AN45,10)/10*6)+(MIN(AO45,10)/10*4)+(MIN(AP45,10)/10*2),2)</f>
        <v/>
      </c>
      <c r="AS45" s="0">
        <f>L45+M45</f>
        <v/>
      </c>
      <c r="AT45" s="0" t="n">
        <v>2</v>
      </c>
      <c r="AU45" s="0" t="n">
        <v>2</v>
      </c>
      <c r="AV45" s="0" t="n">
        <v>2</v>
      </c>
      <c r="AW45" s="0">
        <f>N45+O45+P45</f>
        <v/>
      </c>
      <c r="AX45" s="0" t="n">
        <v>1</v>
      </c>
      <c r="AY45" s="0" t="n">
        <v>0.5</v>
      </c>
      <c r="AZ45" s="0" t="n">
        <v>0.775</v>
      </c>
      <c r="BA45" s="0" t="n">
        <v>0.5</v>
      </c>
      <c r="BB45" s="0">
        <f>ROUND((AX45/2*0.4+AY45/1.5*0.3+AZ45/1*0.2+BA45/0.5*0.1)*100,2)</f>
        <v/>
      </c>
      <c r="BC45" s="0">
        <f>ROUND(AC45+AH45+AI45+AL45+AQ45+AS45+AW45+(BB45/100*5),2)</f>
        <v/>
      </c>
      <c r="BD45" s="0">
        <f>IF(BC45&lt;=20,"极弱",IF(BC45&lt;=40,"偏弱",IF(BC45&lt;=60,"中等",IF(BC45&lt;=80,"较强","卓越"))))</f>
        <v/>
      </c>
      <c r="BH45" s="0" t="inlineStr">
        <is>
          <t>视频号/快手</t>
        </is>
      </c>
    </row>
    <row r="46">
      <c r="A46" s="0" t="inlineStr">
        <is>
          <t>45</t>
        </is>
      </c>
      <c r="B46" s="0" t="inlineStr">
        <is>
          <t>重生饥荒年，我把媳妇宠上天</t>
        </is>
      </c>
      <c r="C46" s="0" t="inlineStr">
        <is>
          <t>file:///Users/mr.hu/Desktop/爆款排名/10.31剧本_txt/重生饥荒年，我把媳妇宠上天.txt</t>
        </is>
      </c>
      <c r="E46" s="0" t="n">
        <v>22.25</v>
      </c>
      <c r="F46" s="0" t="n">
        <v>18</v>
      </c>
      <c r="G46" s="0">
        <f>IF(E46&lt;=8,"15–20集",IF(E46&lt;=20,"20–30集","30–40集"))</f>
        <v/>
      </c>
      <c r="H46" s="0" t="inlineStr">
        <is>
          <t>男频</t>
        </is>
      </c>
      <c r="I46" s="0" t="inlineStr">
        <is>
          <t>科幻/奇幻</t>
        </is>
      </c>
      <c r="J46" s="0" t="inlineStr">
        <is>
          <t>职场/商战</t>
        </is>
      </c>
      <c r="K46" s="0" t="inlineStr">
        <is>
          <t>写实都市</t>
        </is>
      </c>
      <c r="L46" s="0" t="n">
        <v>6</v>
      </c>
      <c r="M46" s="0" t="n">
        <v>7</v>
      </c>
      <c r="N46" s="0" t="inlineStr">
        <is>
          <t>男性/下沉/45+</t>
        </is>
      </c>
      <c r="O46" s="0" t="inlineStr">
        <is>
          <t>周末黄金</t>
        </is>
      </c>
      <c r="P46" s="0" t="inlineStr">
        <is>
          <t>知识信息量</t>
        </is>
      </c>
      <c r="Q46" s="0" t="n">
        <v>1</v>
      </c>
      <c r="R46" s="0" t="n">
        <v>2</v>
      </c>
      <c r="S46" s="0" t="n">
        <v>2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4</v>
      </c>
      <c r="AA46" s="0" t="n">
        <v>0</v>
      </c>
      <c r="AB46" s="0" t="n">
        <v>2</v>
      </c>
      <c r="AC46" s="0">
        <f>Y46+Z46+AA46+AB46</f>
        <v/>
      </c>
      <c r="AD46" s="0" t="n">
        <v>1</v>
      </c>
      <c r="AE46" s="0" t="n">
        <v>4</v>
      </c>
      <c r="AF46" s="0" t="n">
        <v>2</v>
      </c>
      <c r="AG46" s="0" t="n">
        <v>0</v>
      </c>
      <c r="AH46" s="0">
        <f>AD46+AE46+AF46+AG46</f>
        <v/>
      </c>
      <c r="AI46" s="0">
        <f>Q46+R46+S46+T46</f>
        <v/>
      </c>
      <c r="AJ46" s="0" t="n">
        <v>3</v>
      </c>
      <c r="AL46" s="0">
        <f>AJ46+U46+V46+W46+X46</f>
        <v/>
      </c>
      <c r="AM46" s="0" t="n">
        <v>0</v>
      </c>
      <c r="AN46" s="0" t="n">
        <v>6.74</v>
      </c>
      <c r="AO46" s="0" t="n">
        <v>0</v>
      </c>
      <c r="AP46" s="0" t="n">
        <v>12</v>
      </c>
      <c r="AQ46" s="0">
        <f>ROUND((MIN(AM46,10)/10*8)+(MIN(AN46,10)/10*6)+(MIN(AO46,10)/10*4)+(MIN(AP46,10)/10*2),2)</f>
        <v/>
      </c>
      <c r="AS46" s="0">
        <f>L46+M46</f>
        <v/>
      </c>
      <c r="AT46" s="0" t="n">
        <v>3</v>
      </c>
      <c r="AU46" s="0" t="n">
        <v>2</v>
      </c>
      <c r="AV46" s="0" t="n">
        <v>2</v>
      </c>
      <c r="AW46" s="0">
        <f>N46+O46+P46</f>
        <v/>
      </c>
      <c r="AX46" s="0" t="n">
        <v>2</v>
      </c>
      <c r="AY46" s="0" t="n">
        <v>1.4</v>
      </c>
      <c r="AZ46" s="0" t="n">
        <v>0.85</v>
      </c>
      <c r="BA46" s="0" t="n">
        <v>0</v>
      </c>
      <c r="BB46" s="0">
        <f>ROUND((AX46/2*0.4+AY46/1.5*0.3+AZ46/1*0.2+BA46/0.5*0.1)*100,2)</f>
        <v/>
      </c>
      <c r="BC46" s="0">
        <f>ROUND(AC46+AH46+AI46+AL46+AQ46+AS46+AW46+(BB46/100*5),2)</f>
        <v/>
      </c>
      <c r="BD46" s="0">
        <f>IF(BC46&lt;=20,"极弱",IF(BC46&lt;=40,"偏弱",IF(BC46&lt;=60,"中等",IF(BC46&lt;=80,"较强","卓越"))))</f>
        <v/>
      </c>
      <c r="BH46" s="0" t="inlineStr">
        <is>
          <t>视频号/快手</t>
        </is>
      </c>
    </row>
    <row r="47">
      <c r="A47" s="0" t="inlineStr">
        <is>
          <t>46</t>
        </is>
      </c>
      <c r="B47" s="0" t="inlineStr">
        <is>
          <t>锦刀行</t>
        </is>
      </c>
      <c r="C47" s="0" t="inlineStr">
        <is>
          <t>file:///Users/mr.hu/Desktop/爆款排名/10.31剧本_txt/锦刀行.txt</t>
        </is>
      </c>
      <c r="E47" s="0" t="n">
        <v>35.28</v>
      </c>
      <c r="F47" s="0" t="n">
        <v>29</v>
      </c>
      <c r="G47" s="0">
        <f>IF(E47&lt;=8,"15–20集",IF(E47&lt;=20,"20–30集","30–40集"))</f>
        <v/>
      </c>
      <c r="H47" s="0" t="inlineStr">
        <is>
          <t>男频</t>
        </is>
      </c>
      <c r="I47" s="0" t="inlineStr">
        <is>
          <t>古代</t>
        </is>
      </c>
      <c r="J47" s="0" t="inlineStr">
        <is>
          <t>玄幻修仙</t>
        </is>
      </c>
      <c r="K47" s="0" t="inlineStr">
        <is>
          <t>武侠动作</t>
        </is>
      </c>
      <c r="L47" s="0" t="n">
        <v>6</v>
      </c>
      <c r="M47" s="0" t="n">
        <v>7</v>
      </c>
      <c r="N47" s="0" t="inlineStr">
        <is>
          <t>男性/一二线/18–35</t>
        </is>
      </c>
      <c r="O47" s="0" t="inlineStr">
        <is>
          <t>节假日前后</t>
        </is>
      </c>
      <c r="P47" s="0" t="inlineStr">
        <is>
          <t>反转爽点</t>
        </is>
      </c>
      <c r="Q47" s="0" t="n">
        <v>3</v>
      </c>
      <c r="R47" s="0" t="n">
        <v>3</v>
      </c>
      <c r="S47" s="0" t="n">
        <v>3</v>
      </c>
      <c r="T47" s="0" t="n">
        <v>1</v>
      </c>
      <c r="U47" s="0" t="n">
        <v>1</v>
      </c>
      <c r="V47" s="0" t="n">
        <v>2</v>
      </c>
      <c r="W47" s="0" t="n">
        <v>1</v>
      </c>
      <c r="X47" s="0" t="n">
        <v>1</v>
      </c>
      <c r="Y47" s="0" t="n">
        <v>1</v>
      </c>
      <c r="Z47" s="0" t="n">
        <v>4</v>
      </c>
      <c r="AA47" s="0" t="n">
        <v>2</v>
      </c>
      <c r="AB47" s="0" t="n">
        <v>1</v>
      </c>
      <c r="AC47" s="0">
        <f>Y47+Z47+AA47+AB47</f>
        <v/>
      </c>
      <c r="AD47" s="0" t="n">
        <v>5</v>
      </c>
      <c r="AE47" s="0" t="n">
        <v>5</v>
      </c>
      <c r="AF47" s="0" t="n">
        <v>2</v>
      </c>
      <c r="AG47" s="0" t="n">
        <v>1</v>
      </c>
      <c r="AH47" s="0">
        <f>AD47+AE47+AF47+AG47</f>
        <v/>
      </c>
      <c r="AI47" s="0">
        <f>Q47+R47+S47+T47</f>
        <v/>
      </c>
      <c r="AJ47" s="0" t="n">
        <v>3</v>
      </c>
      <c r="AL47" s="0">
        <f>AJ47+U47+V47+W47+X47</f>
        <v/>
      </c>
      <c r="AM47" s="0" t="n">
        <v>3.4</v>
      </c>
      <c r="AN47" s="0" t="n">
        <v>5.1</v>
      </c>
      <c r="AO47" s="0" t="n">
        <v>0</v>
      </c>
      <c r="AP47" s="0" t="n">
        <v>0</v>
      </c>
      <c r="AQ47" s="0">
        <f>ROUND((MIN(AM47,10)/10*8)+(MIN(AN47,10)/10*6)+(MIN(AO47,10)/10*4)+(MIN(AP47,10)/10*2),2)</f>
        <v/>
      </c>
      <c r="AS47" s="0">
        <f>L47+M47</f>
        <v/>
      </c>
      <c r="AT47" s="0" t="n">
        <v>4</v>
      </c>
      <c r="AU47" s="0" t="n">
        <v>2</v>
      </c>
      <c r="AV47" s="0" t="n">
        <v>2</v>
      </c>
      <c r="AW47" s="0">
        <f>N47+O47+P47</f>
        <v/>
      </c>
      <c r="AX47" s="0" t="n">
        <v>2</v>
      </c>
      <c r="AY47" s="0" t="n">
        <v>1.1</v>
      </c>
      <c r="AZ47" s="0" t="n">
        <v>0.85</v>
      </c>
      <c r="BA47" s="0" t="n">
        <v>0.5</v>
      </c>
      <c r="BB47" s="0">
        <f>ROUND((AX47/2*0.4+AY47/1.5*0.3+AZ47/1*0.2+BA47/0.5*0.1)*100,2)</f>
        <v/>
      </c>
      <c r="BC47" s="0">
        <f>ROUND(AC47+AH47+AI47+AL47+AQ47+AS47+AW47+(BB47/100*5),2)</f>
        <v/>
      </c>
      <c r="BD47" s="0">
        <f>IF(BC47&lt;=20,"极弱",IF(BC47&lt;=40,"偏弱",IF(BC47&lt;=60,"中等",IF(BC47&lt;=80,"较强","卓越"))))</f>
        <v/>
      </c>
      <c r="BH47" s="0" t="inlineStr">
        <is>
          <t>抖音/快手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9"/>
  <sheetViews>
    <sheetView topLeftCell="A33" workbookViewId="0">
      <selection activeCell="A1" sqref="A1"/>
    </sheetView>
  </sheetViews>
  <sheetFormatPr baseColWidth="8" defaultColWidth="9" defaultRowHeight="15.2"/>
  <sheetData>
    <row r="1">
      <c r="A1" s="0" t="inlineStr">
        <is>
          <t>序号</t>
        </is>
      </c>
      <c r="B1" s="0" t="inlineStr">
        <is>
          <t>剧本名</t>
        </is>
      </c>
      <c r="C1" s="0" t="inlineStr">
        <is>
          <t>剧本URL</t>
        </is>
      </c>
      <c r="D1" s="0" t="inlineStr">
        <is>
          <t>全文（粘贴）</t>
        </is>
      </c>
      <c r="E1" s="0" t="inlineStr">
        <is>
          <t>字数（千字）</t>
        </is>
      </c>
      <c r="F1" s="0" t="inlineStr">
        <is>
          <t>页数</t>
        </is>
      </c>
      <c r="G1" s="0" t="inlineStr">
        <is>
          <t>建议集数</t>
        </is>
      </c>
      <c r="H1" s="0" t="inlineStr">
        <is>
          <t>倾向</t>
        </is>
      </c>
      <c r="I1" s="0" t="inlineStr">
        <is>
          <t>时代背景</t>
        </is>
      </c>
      <c r="J1" s="0" t="inlineStr">
        <is>
          <t>主题</t>
        </is>
      </c>
      <c r="K1" s="0" t="inlineStr">
        <is>
          <t>导演（风格建议）</t>
        </is>
      </c>
      <c r="L1" s="0" t="inlineStr">
        <is>
          <t>场景数量与内外景占比</t>
        </is>
      </c>
      <c r="M1" s="0" t="inlineStr">
        <is>
          <t>演员数量结构</t>
        </is>
      </c>
      <c r="N1" s="0" t="inlineStr">
        <is>
          <t>受众定位</t>
        </is>
      </c>
      <c r="O1" s="0" t="inlineStr">
        <is>
          <t>上线时间</t>
        </is>
      </c>
      <c r="P1" s="0" t="inlineStr">
        <is>
          <t>营销方向</t>
        </is>
      </c>
      <c r="Q1" s="0" t="inlineStr">
        <is>
          <t>类型覆盖</t>
        </is>
      </c>
      <c r="R1" s="0" t="inlineStr">
        <is>
          <t>升级曲线</t>
        </is>
      </c>
      <c r="S1" s="0" t="inlineStr">
        <is>
          <t>风险与代价</t>
        </is>
      </c>
      <c r="T1" s="0" t="inlineStr">
        <is>
          <t>解决策略多样性</t>
        </is>
      </c>
      <c r="U1" s="0" t="inlineStr">
        <is>
          <t>信息密度</t>
        </is>
      </c>
      <c r="V1" s="0" t="inlineStr">
        <is>
          <t>金句率与记忆点</t>
        </is>
      </c>
      <c r="W1" s="0" t="inlineStr">
        <is>
          <t>生活化/专业度</t>
        </is>
      </c>
      <c r="X1" s="0" t="inlineStr">
        <is>
          <t>价值观与合规</t>
        </is>
      </c>
      <c r="Y1" s="0" t="inlineStr">
        <is>
          <t>起承转合完整度</t>
        </is>
      </c>
      <c r="Z1" s="0" t="inlineStr">
        <is>
          <t>转折密度</t>
        </is>
      </c>
      <c r="AA1" s="0" t="inlineStr">
        <is>
          <t>悬念闭合率</t>
        </is>
      </c>
      <c r="AB1" s="0" t="inlineStr">
        <is>
          <t>节奏均衡度</t>
        </is>
      </c>
      <c r="AC1" s="0" t="inlineStr">
        <is>
          <t>剧情结构（得分）</t>
        </is>
      </c>
      <c r="AD1" s="0" t="inlineStr">
        <is>
          <t>目标-动机-障碍</t>
        </is>
      </c>
      <c r="AE1" s="0" t="inlineStr">
        <is>
          <t>弧光与反差</t>
        </is>
      </c>
      <c r="AF1" s="0" t="inlineStr">
        <is>
          <t>关系网复杂度</t>
        </is>
      </c>
      <c r="AG1" s="0" t="inlineStr">
        <is>
          <t>记忆点</t>
        </is>
      </c>
      <c r="AH1" s="0" t="inlineStr">
        <is>
          <t>角色塑造（得分）</t>
        </is>
      </c>
      <c r="AI1" s="0" t="inlineStr">
        <is>
          <t>冲突设置（得分）</t>
        </is>
      </c>
      <c r="AJ1" s="0" t="inlineStr">
        <is>
          <t>人设匹配</t>
        </is>
      </c>
      <c r="AK1" s="0" t="inlineStr">
        <is>
          <t>信息密度（副本，仅用于台词计算）</t>
        </is>
      </c>
      <c r="AL1" s="0" t="inlineStr">
        <is>
          <t>台词质量（得分）</t>
        </is>
      </c>
      <c r="AM1" s="0" t="inlineStr">
        <is>
          <t>人物饱满度｜关键词权重</t>
        </is>
      </c>
      <c r="AN1" s="0" t="inlineStr">
        <is>
          <t>人物饱满度｜连接词权重</t>
        </is>
      </c>
      <c r="AO1" s="0" t="inlineStr">
        <is>
          <t>人物饱满度｜反差词对</t>
        </is>
      </c>
      <c r="AP1" s="0" t="inlineStr">
        <is>
          <t>人物饱满度｜事件层级与弧光</t>
        </is>
      </c>
      <c r="AQ1" s="0" t="inlineStr">
        <is>
          <t>人物饱满度（得分）</t>
        </is>
      </c>
      <c r="AR1" s="0" t="inlineStr">
        <is>
          <t>人物饱满度标签</t>
        </is>
      </c>
      <c r="AS1" s="0" t="inlineStr">
        <is>
          <t>制作（得分）</t>
        </is>
      </c>
      <c r="AT1" s="0" t="inlineStr">
        <is>
          <t>宣发（受众定位分）</t>
        </is>
      </c>
      <c r="AU1" s="0" t="inlineStr">
        <is>
          <t>宣发（上线时间分）</t>
        </is>
      </c>
      <c r="AV1" s="0" t="inlineStr">
        <is>
          <t>宣发（营销方向分）</t>
        </is>
      </c>
      <c r="AW1" s="0" t="inlineStr">
        <is>
          <t>宣发（得分）</t>
        </is>
      </c>
      <c r="AX1" s="0" t="inlineStr">
        <is>
          <t>商业价值｜题材热度</t>
        </is>
      </c>
      <c r="AY1" s="0" t="inlineStr">
        <is>
          <t>商业价值｜传播因子</t>
        </is>
      </c>
      <c r="AZ1" s="0" t="inlineStr">
        <is>
          <t>商业价值｜可生产性</t>
        </is>
      </c>
      <c r="BA1" s="0" t="inlineStr">
        <is>
          <t>商业价值｜合规风险</t>
        </is>
      </c>
      <c r="BB1" s="0" t="inlineStr">
        <is>
          <t>商业价值指数</t>
        </is>
      </c>
      <c r="BC1" s="0" t="inlineStr">
        <is>
          <t>总分</t>
        </is>
      </c>
      <c r="BD1" s="0" t="inlineStr">
        <is>
          <t>评分等级</t>
        </is>
      </c>
      <c r="BE1" s="0" t="inlineStr">
        <is>
          <t>备注</t>
        </is>
      </c>
      <c r="BF1" s="0" t="inlineStr">
        <is>
          <t>评估人</t>
        </is>
      </c>
      <c r="BG1" s="0" t="inlineStr">
        <is>
          <t>评估日期</t>
        </is>
      </c>
      <c r="BH1" s="0" t="inlineStr">
        <is>
          <t>平台推荐</t>
        </is>
      </c>
      <c r="BI1" s="0" t="inlineStr">
        <is>
          <t>版本号</t>
        </is>
      </c>
    </row>
    <row r="2">
      <c r="A2" s="0" t="n">
        <v>1</v>
      </c>
      <c r="B2" s="0" t="inlineStr">
        <is>
          <t>一剑霸天</t>
        </is>
      </c>
      <c r="C2" s="0" t="inlineStr">
        <is>
          <t>/Users/mr.hu/Desktop/爆款排名/11.4日剧本/一剑霸天.docx</t>
        </is>
      </c>
      <c r="D2" s="0" t="inlineStr"/>
      <c r="E2" s="0" t="n">
        <v>27.69</v>
      </c>
      <c r="F2" s="0" t="n">
        <v>23</v>
      </c>
      <c r="G2" s="0">
        <f>IF(E2&lt;=8,"15–20集",IF(E2&lt;=20,"20–30集","30–40集"))</f>
        <v/>
      </c>
      <c r="H2" s="0" t="inlineStr">
        <is>
          <t>男频</t>
        </is>
      </c>
      <c r="I2" s="0" t="inlineStr">
        <is>
          <t>古代</t>
        </is>
      </c>
      <c r="J2" s="0" t="inlineStr">
        <is>
          <t>古代权谋/科举</t>
        </is>
      </c>
      <c r="K2" s="0" t="inlineStr">
        <is>
          <t>武侠动作</t>
        </is>
      </c>
      <c r="L2" s="0" t="n">
        <v>5</v>
      </c>
      <c r="M2" s="0" t="n">
        <v>7</v>
      </c>
      <c r="N2" s="0" t="inlineStr">
        <is>
          <t>男性/一二线/18–35</t>
        </is>
      </c>
      <c r="O2" s="0" t="inlineStr">
        <is>
          <t>节假日前后</t>
        </is>
      </c>
      <c r="P2" s="0" t="inlineStr">
        <is>
          <t>反转爽点</t>
        </is>
      </c>
      <c r="Q2" s="0" t="n">
        <v>3</v>
      </c>
      <c r="R2" s="0" t="n">
        <v>3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1</v>
      </c>
      <c r="Y2" s="0" t="n">
        <v>1</v>
      </c>
      <c r="Z2" s="0" t="n">
        <v>4</v>
      </c>
      <c r="AA2" s="0" t="n">
        <v>2</v>
      </c>
      <c r="AB2" s="0" t="n">
        <v>1</v>
      </c>
      <c r="AC2" s="0">
        <f>MIN(15,SUM(Y2:AB2))</f>
        <v/>
      </c>
      <c r="AD2" s="0" t="n">
        <v>5</v>
      </c>
      <c r="AE2" s="0" t="n">
        <v>4</v>
      </c>
      <c r="AF2" s="0" t="n">
        <v>2</v>
      </c>
      <c r="AG2" s="0" t="n">
        <v>1</v>
      </c>
      <c r="AH2" s="0">
        <f>MIN(15,SUM(AD2:AG2))</f>
        <v/>
      </c>
      <c r="AI2" s="0">
        <f>MIN(10,SUM(Q2:T2))</f>
        <v/>
      </c>
      <c r="AJ2" s="0" t="n">
        <v>3</v>
      </c>
      <c r="AK2" s="0">
        <f>=U2</f>
        <v/>
      </c>
      <c r="AL2" s="0">
        <f>MIN(10,AJ2+U2+V2+W2+X2)</f>
        <v/>
      </c>
      <c r="AM2" s="0" t="n">
        <v>1.44</v>
      </c>
      <c r="AN2" s="0" t="n">
        <v>4.33</v>
      </c>
      <c r="AO2" s="0" t="n">
        <v>0</v>
      </c>
      <c r="AP2" s="0" t="n">
        <v>100</v>
      </c>
      <c r="AQ2" s="0">
        <f>ROUND((MIN(AM2,10)/10*8)+(MIN(AN2,10)/10*6)+(MIN(AO2,10)/10*4)+(MIN(AP2,10)/10*2),2)</f>
        <v/>
      </c>
      <c r="AR2" s="0">
        <f>=IF(AQ2&gt;=67,"高",IF(AQ2&gt;=34,"中","低"))</f>
        <v/>
      </c>
      <c r="AS2" s="0">
        <f>=MIN(15,L2+M2)</f>
        <v/>
      </c>
      <c r="AT2" s="0" t="n">
        <v>3</v>
      </c>
      <c r="AU2" s="0" t="n">
        <v>2</v>
      </c>
      <c r="AV2" s="0" t="n">
        <v>2</v>
      </c>
      <c r="AW2" s="0">
        <f>=MIN(10,AT2+AU2+AV2)</f>
        <v/>
      </c>
      <c r="AX2" s="0" t="n">
        <v>2</v>
      </c>
      <c r="AY2" s="0" t="n">
        <v>0.5</v>
      </c>
      <c r="AZ2" s="0" t="n">
        <v>0.775</v>
      </c>
      <c r="BA2" s="0" t="n">
        <v>0.5</v>
      </c>
      <c r="BB2" s="0">
        <f>ROUND((AX2/2*0.4+AY2/1.5*0.3+AZ2/1*0.2+BA2/0.5*0.1)*100,2)</f>
        <v/>
      </c>
      <c r="BC2" s="0">
        <f>ROUND(AC2+AH2+AI2+AL2+AQ2+AS2+AW2+(BB2/100*5),2)</f>
        <v/>
      </c>
      <c r="BD2" s="0">
        <f>IF(BC2&lt;=20,"极弱",IF(BC2&lt;=40,"偏弱",IF(BC2&lt;=60,"中等",IF(BC2&lt;=80,"较强","卓越"))))</f>
        <v/>
      </c>
      <c r="BE2" s="0" t="inlineStr"/>
      <c r="BF2" s="0" t="inlineStr"/>
      <c r="BG2" s="0">
        <f>TODAY()</f>
        <v/>
      </c>
      <c r="BH2" s="0" t="inlineStr">
        <is>
          <t>抖音/快手</t>
        </is>
      </c>
      <c r="BI2" s="0" t="inlineStr">
        <is>
          <t>v1.0</t>
        </is>
      </c>
    </row>
    <row r="3">
      <c r="A3" s="0" t="n">
        <v>2</v>
      </c>
      <c r="B3" s="0" t="inlineStr">
        <is>
          <t>不愚孝后，我在京都买四合院上瘾</t>
        </is>
      </c>
      <c r="C3" s="0" t="inlineStr">
        <is>
          <t>/Users/mr.hu/Desktop/爆款排名/11.4日剧本/不愚孝后，我在京都买四合院上瘾.docx</t>
        </is>
      </c>
      <c r="E3" s="0" t="n">
        <v>20.6</v>
      </c>
      <c r="F3" s="0" t="n">
        <v>17</v>
      </c>
      <c r="G3" s="0">
        <f>IF(E3&lt;=8,"15–20集",IF(E3&lt;=20,"20–30集","30–40集"))</f>
        <v/>
      </c>
      <c r="H3" s="0" t="inlineStr">
        <is>
          <t>男频</t>
        </is>
      </c>
      <c r="I3" s="0" t="inlineStr">
        <is>
          <t>科幻/奇幻</t>
        </is>
      </c>
      <c r="J3" s="0" t="inlineStr">
        <is>
          <t>职场/商战</t>
        </is>
      </c>
      <c r="K3" s="0" t="inlineStr">
        <is>
          <t>写实都市</t>
        </is>
      </c>
      <c r="L3" s="0" t="n">
        <v>7</v>
      </c>
      <c r="M3" s="0" t="n">
        <v>5</v>
      </c>
      <c r="N3" s="0" t="inlineStr">
        <is>
          <t>男性/下沉/45+</t>
        </is>
      </c>
      <c r="O3" s="0" t="inlineStr">
        <is>
          <t>周末黄金</t>
        </is>
      </c>
      <c r="P3" s="0" t="inlineStr">
        <is>
          <t>反转爽点</t>
        </is>
      </c>
      <c r="Q3" s="0" t="n">
        <v>3</v>
      </c>
      <c r="R3" s="0" t="n">
        <v>3</v>
      </c>
      <c r="S3" s="0" t="n">
        <v>3</v>
      </c>
      <c r="T3" s="0" t="n">
        <v>1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1</v>
      </c>
      <c r="Z3" s="0" t="n">
        <v>4</v>
      </c>
      <c r="AA3" s="0" t="n">
        <v>2</v>
      </c>
      <c r="AB3" s="0" t="n">
        <v>2</v>
      </c>
      <c r="AC3" s="0">
        <f>Y3+Z3+AA3+AB3</f>
        <v/>
      </c>
      <c r="AD3" s="0" t="n">
        <v>3</v>
      </c>
      <c r="AE3" s="0" t="n">
        <v>4</v>
      </c>
      <c r="AF3" s="0" t="n">
        <v>2</v>
      </c>
      <c r="AG3" s="0" t="n">
        <v>1</v>
      </c>
      <c r="AH3" s="0">
        <f>AD3+AE3+AF3+AG3</f>
        <v/>
      </c>
      <c r="AI3" s="0">
        <f>Q3+R3+S3+T3</f>
        <v/>
      </c>
      <c r="AJ3" s="0" t="n">
        <v>2</v>
      </c>
      <c r="AK3" s="0">
        <f>=U3</f>
        <v/>
      </c>
      <c r="AL3" s="0">
        <f>AJ3+U3+V3+W3+X3</f>
        <v/>
      </c>
      <c r="AM3" s="0" t="n">
        <v>2.91</v>
      </c>
      <c r="AN3" s="0" t="n">
        <v>2.91</v>
      </c>
      <c r="AO3" s="0" t="n">
        <v>25</v>
      </c>
      <c r="AP3" s="0" t="n">
        <v>48</v>
      </c>
      <c r="AQ3" s="0">
        <f>ROUND((MIN(AM3,10)/10*8)+(MIN(AN3,10)/10*6)+(MIN(AO3,10)/10*4)+(MIN(AP3,10)/10*2),2)</f>
        <v/>
      </c>
      <c r="AR3" s="0">
        <f>=IF(AQ3&gt;=67,"高",IF(AQ3&gt;=34,"中","低"))</f>
        <v/>
      </c>
      <c r="AS3" s="0">
        <f>=MIN(15,L3+M3)</f>
        <v/>
      </c>
      <c r="AT3" s="0" t="n">
        <v>3</v>
      </c>
      <c r="AU3" s="0" t="n">
        <v>2</v>
      </c>
      <c r="AV3" s="0" t="n">
        <v>3</v>
      </c>
      <c r="AW3" s="0">
        <f>=MIN(10,AT3+AU3+AV3)</f>
        <v/>
      </c>
      <c r="AX3" s="0" t="n">
        <v>2</v>
      </c>
      <c r="AY3" s="0" t="n">
        <v>1.5</v>
      </c>
      <c r="AZ3" s="0" t="n">
        <v>0.8107142857142857</v>
      </c>
      <c r="BA3" s="0" t="n">
        <v>0.5</v>
      </c>
      <c r="BB3" s="0">
        <f>ROUND((AX3/2*0.4+AY3/1.5*0.3+AZ3/1*0.2+BA3/0.5*0.1)*100,2)</f>
        <v/>
      </c>
      <c r="BC3" s="0">
        <f>ROUND(AC3+AH3+AI3+AL3+AQ3+AS3+AW3+(BB3/100*5),2)</f>
        <v/>
      </c>
      <c r="BD3" s="0">
        <f>IF(BC3&lt;=20,"极弱",IF(BC3&lt;=40,"偏弱",IF(BC3&lt;=60,"中等",IF(BC3&lt;=80,"较强","卓越"))))</f>
        <v/>
      </c>
      <c r="BH3" s="0" t="inlineStr">
        <is>
          <t>视频号/快手</t>
        </is>
      </c>
    </row>
    <row r="4">
      <c r="A4" s="0" t="n">
        <v>3</v>
      </c>
      <c r="B4" s="0" t="inlineStr">
        <is>
          <t>中年失业，老婆以为我当上总裁</t>
        </is>
      </c>
      <c r="C4" s="0" t="inlineStr">
        <is>
          <t>/Users/mr.hu/Desktop/爆款排名/11.4日剧本/中年失业，老婆以为我当上总裁.docx</t>
        </is>
      </c>
      <c r="E4" s="0" t="n">
        <v>26.21</v>
      </c>
      <c r="F4" s="0" t="n">
        <v>21</v>
      </c>
      <c r="G4" s="0">
        <f>IF(E4&lt;=8,"15–20集",IF(E4&lt;=20,"20–30集","30–40集"))</f>
        <v/>
      </c>
      <c r="H4" s="0" t="inlineStr">
        <is>
          <t>男频</t>
        </is>
      </c>
      <c r="I4" s="0" t="inlineStr">
        <is>
          <t>科幻/奇幻</t>
        </is>
      </c>
      <c r="J4" s="0" t="inlineStr">
        <is>
          <t>职场/商战</t>
        </is>
      </c>
      <c r="K4" s="0" t="inlineStr">
        <is>
          <t>写实都市</t>
        </is>
      </c>
      <c r="L4" s="0" t="n">
        <v>6</v>
      </c>
      <c r="M4" s="0" t="n">
        <v>5</v>
      </c>
      <c r="N4" s="0" t="inlineStr">
        <is>
          <t>男性/一二线/45+</t>
        </is>
      </c>
      <c r="O4" s="0" t="inlineStr">
        <is>
          <t>节假日前后</t>
        </is>
      </c>
      <c r="P4" s="0" t="inlineStr">
        <is>
          <t>知识信息量</t>
        </is>
      </c>
      <c r="Q4" s="0" t="n">
        <v>3</v>
      </c>
      <c r="R4" s="0" t="n">
        <v>3</v>
      </c>
      <c r="S4" s="0" t="n">
        <v>3</v>
      </c>
      <c r="T4" s="0" t="n">
        <v>1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6</v>
      </c>
      <c r="Z4" s="0" t="n">
        <v>4</v>
      </c>
      <c r="AA4" s="0" t="n">
        <v>2</v>
      </c>
      <c r="AB4" s="0" t="n">
        <v>1</v>
      </c>
      <c r="AC4" s="0">
        <f>Y4+Z4+AA4+AB4</f>
        <v/>
      </c>
      <c r="AD4" s="0" t="n">
        <v>5</v>
      </c>
      <c r="AE4" s="0" t="n">
        <v>5</v>
      </c>
      <c r="AF4" s="0" t="n">
        <v>2</v>
      </c>
      <c r="AG4" s="0" t="n">
        <v>1</v>
      </c>
      <c r="AH4" s="0">
        <f>AD4+AE4+AF4+AG4</f>
        <v/>
      </c>
      <c r="AI4" s="0">
        <f>Q4+R4+S4+T4</f>
        <v/>
      </c>
      <c r="AJ4" s="0" t="n">
        <v>3</v>
      </c>
      <c r="AK4" s="0">
        <f>=U4</f>
        <v/>
      </c>
      <c r="AL4" s="0">
        <f>AJ4+U4+V4+W4+X4</f>
        <v/>
      </c>
      <c r="AM4" s="0" t="n">
        <v>0.76</v>
      </c>
      <c r="AN4" s="0" t="n">
        <v>11.45</v>
      </c>
      <c r="AO4" s="0" t="n">
        <v>25</v>
      </c>
      <c r="AP4" s="0" t="n">
        <v>36</v>
      </c>
      <c r="AQ4" s="0">
        <f>ROUND((MIN(AM4,10)/10*8)+(MIN(AN4,10)/10*6)+(MIN(AO4,10)/10*4)+(MIN(AP4,10)/10*2),2)</f>
        <v/>
      </c>
      <c r="AR4" s="0">
        <f>=IF(AQ4&gt;=67,"高",IF(AQ4&gt;=34,"中","低"))</f>
        <v/>
      </c>
      <c r="AS4" s="0">
        <f>=MIN(15,L4+M4)</f>
        <v/>
      </c>
      <c r="AT4" s="0" t="n">
        <v>3</v>
      </c>
      <c r="AU4" s="0" t="n">
        <v>2</v>
      </c>
      <c r="AV4" s="0" t="n">
        <v>2</v>
      </c>
      <c r="AW4" s="0">
        <f>=MIN(10,AT4+AU4+AV4)</f>
        <v/>
      </c>
      <c r="AX4" s="0" t="n">
        <v>2</v>
      </c>
      <c r="AY4" s="0" t="n">
        <v>0.5499999999999999</v>
      </c>
      <c r="AZ4" s="0" t="n">
        <v>0.7357142857142858</v>
      </c>
      <c r="BA4" s="0" t="n">
        <v>0.5</v>
      </c>
      <c r="BB4" s="0">
        <f>ROUND((AX4/2*0.4+AY4/1.5*0.3+AZ4/1*0.2+BA4/0.5*0.1)*100,2)</f>
        <v/>
      </c>
      <c r="BC4" s="0">
        <f>ROUND(AC4+AH4+AI4+AL4+AQ4+AS4+AW4+(BB4/100*5),2)</f>
        <v/>
      </c>
      <c r="BD4" s="0">
        <f>IF(BC4&lt;=20,"极弱",IF(BC4&lt;=40,"偏弱",IF(BC4&lt;=60,"中等",IF(BC4&lt;=80,"较强","卓越"))))</f>
        <v/>
      </c>
      <c r="BH4" s="0" t="inlineStr">
        <is>
          <t>抖音/快手</t>
        </is>
      </c>
    </row>
    <row r="5">
      <c r="A5" s="0" t="n">
        <v>4</v>
      </c>
      <c r="B5" s="0" t="inlineStr">
        <is>
          <t>修仙十万年，女儿五岁就无敌了！</t>
        </is>
      </c>
      <c r="C5" s="0" t="inlineStr">
        <is>
          <t>/Users/mr.hu/Desktop/爆款排名/11.4日剧本/修仙十万年，女儿五岁就无敌了！.docx</t>
        </is>
      </c>
      <c r="E5" s="0" t="n">
        <v>21.13</v>
      </c>
      <c r="F5" s="0" t="n">
        <v>17</v>
      </c>
      <c r="G5" s="0">
        <f>IF(E5&lt;=8,"15–20集",IF(E5&lt;=20,"20–30集","30–40集"))</f>
        <v/>
      </c>
      <c r="H5" s="0" t="inlineStr">
        <is>
          <t>男频</t>
        </is>
      </c>
      <c r="I5" s="0" t="inlineStr">
        <is>
          <t>科幻/奇幻</t>
        </is>
      </c>
      <c r="J5" s="0" t="inlineStr">
        <is>
          <t>玄幻修仙</t>
        </is>
      </c>
      <c r="K5" s="0" t="inlineStr">
        <is>
          <t>武侠动作</t>
        </is>
      </c>
      <c r="L5" s="0" t="n">
        <v>5</v>
      </c>
      <c r="M5" s="0" t="n">
        <v>7</v>
      </c>
      <c r="N5" s="0" t="inlineStr">
        <is>
          <t>男性/下沉/18–35</t>
        </is>
      </c>
      <c r="O5" s="0" t="inlineStr">
        <is>
          <t>周末黄金</t>
        </is>
      </c>
      <c r="P5" s="0" t="inlineStr">
        <is>
          <t>反转爽点</t>
        </is>
      </c>
      <c r="Q5" s="0" t="n">
        <v>3</v>
      </c>
      <c r="R5" s="0" t="n">
        <v>3</v>
      </c>
      <c r="S5" s="0" t="n">
        <v>3</v>
      </c>
      <c r="T5" s="0" t="n">
        <v>1</v>
      </c>
      <c r="U5" s="0" t="n">
        <v>1</v>
      </c>
      <c r="V5" s="0" t="n">
        <v>2</v>
      </c>
      <c r="W5" s="0" t="n">
        <v>0</v>
      </c>
      <c r="X5" s="0" t="n">
        <v>1</v>
      </c>
      <c r="Y5" s="0" t="n">
        <v>0</v>
      </c>
      <c r="Z5" s="0" t="n">
        <v>4</v>
      </c>
      <c r="AA5" s="0" t="n">
        <v>0</v>
      </c>
      <c r="AB5" s="0" t="n">
        <v>1</v>
      </c>
      <c r="AC5" s="0">
        <f>Y5+Z5+AA5+AB5</f>
        <v/>
      </c>
      <c r="AD5" s="0" t="n">
        <v>3</v>
      </c>
      <c r="AE5" s="0" t="n">
        <v>4</v>
      </c>
      <c r="AF5" s="0" t="n">
        <v>2</v>
      </c>
      <c r="AG5" s="0" t="n">
        <v>1</v>
      </c>
      <c r="AH5" s="0">
        <f>AD5+AE5+AF5+AG5</f>
        <v/>
      </c>
      <c r="AI5" s="0">
        <f>Q5+R5+S5+T5</f>
        <v/>
      </c>
      <c r="AJ5" s="0" t="n">
        <v>3</v>
      </c>
      <c r="AK5" s="0">
        <f>=U5</f>
        <v/>
      </c>
      <c r="AL5" s="0">
        <f>AJ5+U5+V5+W5+X5</f>
        <v/>
      </c>
      <c r="AM5" s="0" t="n">
        <v>3.79</v>
      </c>
      <c r="AN5" s="0" t="n">
        <v>4.26</v>
      </c>
      <c r="AO5" s="0" t="n">
        <v>25</v>
      </c>
      <c r="AP5" s="0" t="n">
        <v>0</v>
      </c>
      <c r="AQ5" s="0">
        <f>ROUND((MIN(AM5,10)/10*8)+(MIN(AN5,10)/10*6)+(MIN(AO5,10)/10*4)+(MIN(AP5,10)/10*2),2)</f>
        <v/>
      </c>
      <c r="AR5" s="0">
        <f>=IF(AQ5&gt;=67,"高",IF(AQ5&gt;=34,"中","低"))</f>
        <v/>
      </c>
      <c r="AS5" s="0">
        <f>=MIN(15,L5+M5)</f>
        <v/>
      </c>
      <c r="AT5" s="0" t="n">
        <v>3</v>
      </c>
      <c r="AU5" s="0" t="n">
        <v>2</v>
      </c>
      <c r="AV5" s="0" t="n">
        <v>2</v>
      </c>
      <c r="AW5" s="0">
        <f>=MIN(10,AT5+AU5+AV5)</f>
        <v/>
      </c>
      <c r="AX5" s="0" t="n">
        <v>2</v>
      </c>
      <c r="AY5" s="0" t="n">
        <v>1.5</v>
      </c>
      <c r="AZ5" s="0" t="n">
        <v>0.775</v>
      </c>
      <c r="BA5" s="0" t="n">
        <v>0.5</v>
      </c>
      <c r="BB5" s="0">
        <f>ROUND((AX5/2*0.4+AY5/1.5*0.3+AZ5/1*0.2+BA5/0.5*0.1)*100,2)</f>
        <v/>
      </c>
      <c r="BC5" s="0">
        <f>ROUND(AC5+AH5+AI5+AL5+AQ5+AS5+AW5+(BB5/100*5),2)</f>
        <v/>
      </c>
      <c r="BD5" s="0">
        <f>IF(BC5&lt;=20,"极弱",IF(BC5&lt;=40,"偏弱",IF(BC5&lt;=60,"中等",IF(BC5&lt;=80,"较强","卓越"))))</f>
        <v/>
      </c>
      <c r="BH5" s="0" t="inlineStr">
        <is>
          <t>视频号/快手</t>
        </is>
      </c>
    </row>
    <row r="6">
      <c r="A6" s="0" t="n">
        <v>5</v>
      </c>
      <c r="B6" s="0" t="inlineStr">
        <is>
          <t>全球通缉：疯了！你管这叫逃亡？</t>
        </is>
      </c>
      <c r="C6" s="0" t="inlineStr">
        <is>
          <t>/Users/mr.hu/Desktop/爆款排名/11.4日剧本/全球通缉：疯了！你管这叫逃亡？.docx</t>
        </is>
      </c>
      <c r="E6" s="0" t="n">
        <v>22.93</v>
      </c>
      <c r="F6" s="0" t="n">
        <v>19</v>
      </c>
      <c r="G6" s="0">
        <f>IF(E6&lt;=8,"15–20集",IF(E6&lt;=20,"20–30集","30–40集"))</f>
        <v/>
      </c>
      <c r="H6" s="0" t="inlineStr">
        <is>
          <t>男频</t>
        </is>
      </c>
      <c r="I6" s="0" t="inlineStr">
        <is>
          <t>古代</t>
        </is>
      </c>
      <c r="J6" s="0" t="inlineStr">
        <is>
          <t>职场/商战</t>
        </is>
      </c>
      <c r="K6" s="0" t="inlineStr">
        <is>
          <t>古装群像</t>
        </is>
      </c>
      <c r="L6" s="0" t="n">
        <v>4</v>
      </c>
      <c r="M6" s="0" t="n">
        <v>7</v>
      </c>
      <c r="N6" s="0" t="inlineStr">
        <is>
          <t>男性/一二线/45+</t>
        </is>
      </c>
      <c r="O6" s="0" t="inlineStr">
        <is>
          <t>节假日前后</t>
        </is>
      </c>
      <c r="P6" s="0" t="inlineStr">
        <is>
          <t>反转爽点</t>
        </is>
      </c>
      <c r="Q6" s="0" t="n">
        <v>3</v>
      </c>
      <c r="R6" s="0" t="n">
        <v>2</v>
      </c>
      <c r="S6" s="0" t="n">
        <v>2</v>
      </c>
      <c r="T6" s="0" t="n">
        <v>1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4</v>
      </c>
      <c r="AA6" s="0" t="n">
        <v>2</v>
      </c>
      <c r="AB6" s="0" t="n">
        <v>2</v>
      </c>
      <c r="AC6" s="0">
        <f>Y6+Z6+AA6+AB6</f>
        <v/>
      </c>
      <c r="AD6" s="0" t="n">
        <v>5</v>
      </c>
      <c r="AE6" s="0" t="n">
        <v>3</v>
      </c>
      <c r="AF6" s="0" t="n">
        <v>2</v>
      </c>
      <c r="AG6" s="0" t="n">
        <v>0</v>
      </c>
      <c r="AH6" s="0">
        <f>AD6+AE6+AF6+AG6</f>
        <v/>
      </c>
      <c r="AI6" s="0">
        <f>Q6+R6+S6+T6</f>
        <v/>
      </c>
      <c r="AJ6" s="0" t="n">
        <v>3</v>
      </c>
      <c r="AK6" s="0">
        <f>=U6</f>
        <v/>
      </c>
      <c r="AL6" s="0">
        <f>AJ6+U6+V6+W6+X6</f>
        <v/>
      </c>
      <c r="AM6" s="0" t="n">
        <v>0.87</v>
      </c>
      <c r="AN6" s="0" t="n">
        <v>1.31</v>
      </c>
      <c r="AO6" s="0" t="n">
        <v>0</v>
      </c>
      <c r="AP6" s="0" t="n">
        <v>12</v>
      </c>
      <c r="AQ6" s="0">
        <f>ROUND((MIN(AM6,10)/10*8)+(MIN(AN6,10)/10*6)+(MIN(AO6,10)/10*4)+(MIN(AP6,10)/10*2),2)</f>
        <v/>
      </c>
      <c r="AR6" s="0">
        <f>=IF(AQ6&gt;=67,"高",IF(AQ6&gt;=34,"中","低"))</f>
        <v/>
      </c>
      <c r="AS6" s="0">
        <f>=MIN(15,L6+M6)</f>
        <v/>
      </c>
      <c r="AT6" s="0" t="n">
        <v>3</v>
      </c>
      <c r="AU6" s="0" t="n">
        <v>2</v>
      </c>
      <c r="AV6" s="0" t="n">
        <v>2</v>
      </c>
      <c r="AW6" s="0">
        <f>=MIN(10,AT6+AU6+AV6)</f>
        <v/>
      </c>
      <c r="AX6" s="0" t="n">
        <v>2</v>
      </c>
      <c r="AY6" s="0" t="n">
        <v>0.5</v>
      </c>
      <c r="AZ6" s="0" t="n">
        <v>0.7</v>
      </c>
      <c r="BA6" s="0" t="n">
        <v>0.5</v>
      </c>
      <c r="BB6" s="0">
        <f>ROUND((AX6/2*0.4+AY6/1.5*0.3+AZ6/1*0.2+BA6/0.5*0.1)*100,2)</f>
        <v/>
      </c>
      <c r="BC6" s="0">
        <f>ROUND(AC6+AH6+AI6+AL6+AQ6+AS6+AW6+(BB6/100*5),2)</f>
        <v/>
      </c>
      <c r="BD6" s="0">
        <f>IF(BC6&lt;=20,"极弱",IF(BC6&lt;=40,"偏弱",IF(BC6&lt;=60,"中等",IF(BC6&lt;=80,"较强","卓越"))))</f>
        <v/>
      </c>
      <c r="BH6" s="0" t="inlineStr">
        <is>
          <t>抖音/快手</t>
        </is>
      </c>
    </row>
    <row r="7">
      <c r="A7" s="0" t="n">
        <v>6</v>
      </c>
      <c r="B7" s="0" t="inlineStr">
        <is>
          <t>刚爬出棺材，我反手就娶了御姐？</t>
        </is>
      </c>
      <c r="C7" s="0" t="inlineStr">
        <is>
          <t>/Users/mr.hu/Desktop/爆款排名/11.4日剧本/刚爬出棺材，我反手就娶了御姐？.docx</t>
        </is>
      </c>
      <c r="E7" s="0" t="n">
        <v>19.23</v>
      </c>
      <c r="F7" s="0" t="n">
        <v>16</v>
      </c>
      <c r="G7" s="0">
        <f>IF(E7&lt;=8,"15–20集",IF(E7&lt;=20,"20–30集","30–40集"))</f>
        <v/>
      </c>
      <c r="H7" s="0" t="inlineStr">
        <is>
          <t>男频</t>
        </is>
      </c>
      <c r="I7" s="0" t="inlineStr">
        <is>
          <t>古代</t>
        </is>
      </c>
      <c r="J7" s="0" t="inlineStr">
        <is>
          <t>古代权谋/科举</t>
        </is>
      </c>
      <c r="K7" s="0" t="inlineStr">
        <is>
          <t>悬疑快剪</t>
        </is>
      </c>
      <c r="L7" s="0" t="n">
        <v>4</v>
      </c>
      <c r="M7" s="0" t="n">
        <v>7</v>
      </c>
      <c r="N7" s="0" t="inlineStr">
        <is>
          <t>男性/一二线/45+</t>
        </is>
      </c>
      <c r="O7" s="0" t="inlineStr">
        <is>
          <t>周末黄金</t>
        </is>
      </c>
      <c r="P7" s="0" t="inlineStr">
        <is>
          <t>知识信息量</t>
        </is>
      </c>
      <c r="Q7" s="0" t="n">
        <v>3</v>
      </c>
      <c r="R7" s="0" t="n">
        <v>3</v>
      </c>
      <c r="S7" s="0" t="n">
        <v>2</v>
      </c>
      <c r="T7" s="0" t="n">
        <v>1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4</v>
      </c>
      <c r="AA7" s="0" t="n">
        <v>2</v>
      </c>
      <c r="AB7" s="0" t="n">
        <v>2</v>
      </c>
      <c r="AC7" s="0">
        <f>Y7+Z7+AA7+AB7</f>
        <v/>
      </c>
      <c r="AD7" s="0" t="n">
        <v>4</v>
      </c>
      <c r="AE7" s="0" t="n">
        <v>6</v>
      </c>
      <c r="AF7" s="0" t="n">
        <v>2</v>
      </c>
      <c r="AG7" s="0" t="n">
        <v>0</v>
      </c>
      <c r="AH7" s="0">
        <f>AD7+AE7+AF7+AG7</f>
        <v/>
      </c>
      <c r="AI7" s="0">
        <f>Q7+R7+S7+T7</f>
        <v/>
      </c>
      <c r="AJ7" s="0" t="n">
        <v>3</v>
      </c>
      <c r="AK7" s="0">
        <f>=U7</f>
        <v/>
      </c>
      <c r="AL7" s="0">
        <f>AJ7+U7+V7+W7+X7</f>
        <v/>
      </c>
      <c r="AM7" s="0" t="n">
        <v>4.16</v>
      </c>
      <c r="AN7" s="0" t="n">
        <v>23.4</v>
      </c>
      <c r="AO7" s="0" t="n">
        <v>0</v>
      </c>
      <c r="AP7" s="0" t="n">
        <v>0</v>
      </c>
      <c r="AQ7" s="0">
        <f>ROUND((MIN(AM7,10)/10*8)+(MIN(AN7,10)/10*6)+(MIN(AO7,10)/10*4)+(MIN(AP7,10)/10*2),2)</f>
        <v/>
      </c>
      <c r="AR7" s="0">
        <f>=IF(AQ7&gt;=67,"高",IF(AQ7&gt;=34,"中","低"))</f>
        <v/>
      </c>
      <c r="AS7" s="0">
        <f>=MIN(15,L7+M7)</f>
        <v/>
      </c>
      <c r="AT7" s="0" t="n">
        <v>3</v>
      </c>
      <c r="AU7" s="0" t="n">
        <v>2</v>
      </c>
      <c r="AV7" s="0" t="n">
        <v>2</v>
      </c>
      <c r="AW7" s="0">
        <f>=MIN(10,AT7+AU7+AV7)</f>
        <v/>
      </c>
      <c r="AX7" s="0" t="n">
        <v>2</v>
      </c>
      <c r="AY7" s="0" t="n">
        <v>1.25</v>
      </c>
      <c r="AZ7" s="0" t="n">
        <v>0.7</v>
      </c>
      <c r="BA7" s="0" t="n">
        <v>0.5</v>
      </c>
      <c r="BB7" s="0">
        <f>ROUND((AX7/2*0.4+AY7/1.5*0.3+AZ7/1*0.2+BA7/0.5*0.1)*100,2)</f>
        <v/>
      </c>
      <c r="BC7" s="0">
        <f>ROUND(AC7+AH7+AI7+AL7+AQ7+AS7+AW7+(BB7/100*5),2)</f>
        <v/>
      </c>
      <c r="BD7" s="0">
        <f>IF(BC7&lt;=20,"极弱",IF(BC7&lt;=40,"偏弱",IF(BC7&lt;=60,"中等",IF(BC7&lt;=80,"较强","卓越"))))</f>
        <v/>
      </c>
      <c r="BH7" s="0" t="inlineStr">
        <is>
          <t>抖音/快手</t>
        </is>
      </c>
    </row>
    <row r="8">
      <c r="A8" s="0" t="n">
        <v>7</v>
      </c>
      <c r="B8" s="0" t="inlineStr">
        <is>
          <t>医神殿之盖世神医</t>
        </is>
      </c>
      <c r="C8" s="0" t="inlineStr">
        <is>
          <t>/Users/mr.hu/Desktop/爆款排名/11.4日剧本/医神殿之盖世神医.docx</t>
        </is>
      </c>
      <c r="E8" s="0" t="n">
        <v>25.52</v>
      </c>
      <c r="F8" s="0" t="n">
        <v>21</v>
      </c>
      <c r="G8" s="0">
        <f>IF(E8&lt;=8,"15–20集",IF(E8&lt;=20,"20–30集","30–40集"))</f>
        <v/>
      </c>
      <c r="H8" s="0" t="inlineStr">
        <is>
          <t>女频</t>
        </is>
      </c>
      <c r="I8" s="0" t="inlineStr">
        <is>
          <t>科幻/奇幻</t>
        </is>
      </c>
      <c r="J8" s="0" t="inlineStr">
        <is>
          <t>职场/商战</t>
        </is>
      </c>
      <c r="K8" s="0" t="inlineStr">
        <is>
          <t>写实都市</t>
        </is>
      </c>
      <c r="L8" s="0" t="n">
        <v>4</v>
      </c>
      <c r="M8" s="0" t="n">
        <v>7</v>
      </c>
      <c r="N8" s="0" t="inlineStr">
        <is>
          <t>女性/一二线/18–35</t>
        </is>
      </c>
      <c r="O8" s="0" t="inlineStr">
        <is>
          <t>节假日前后</t>
        </is>
      </c>
      <c r="P8" s="0" t="inlineStr">
        <is>
          <t>成长救赎</t>
        </is>
      </c>
      <c r="Q8" s="0" t="n">
        <v>3</v>
      </c>
      <c r="R8" s="0" t="n">
        <v>3</v>
      </c>
      <c r="S8" s="0" t="n">
        <v>3</v>
      </c>
      <c r="T8" s="0" t="n">
        <v>1</v>
      </c>
      <c r="U8" s="0" t="n">
        <v>1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4</v>
      </c>
      <c r="AA8" s="0" t="n">
        <v>2</v>
      </c>
      <c r="AB8" s="0" t="n">
        <v>2</v>
      </c>
      <c r="AC8" s="0">
        <f>Y8+Z8+AA8+AB8</f>
        <v/>
      </c>
      <c r="AD8" s="0" t="n">
        <v>2</v>
      </c>
      <c r="AE8" s="0" t="n">
        <v>6</v>
      </c>
      <c r="AF8" s="0" t="n">
        <v>2</v>
      </c>
      <c r="AG8" s="0" t="n">
        <v>1</v>
      </c>
      <c r="AH8" s="0">
        <f>AD8+AE8+AF8+AG8</f>
        <v/>
      </c>
      <c r="AI8" s="0">
        <f>Q8+R8+S8+T8</f>
        <v/>
      </c>
      <c r="AJ8" s="0" t="n">
        <v>3</v>
      </c>
      <c r="AK8" s="0">
        <f>=U8</f>
        <v/>
      </c>
      <c r="AL8" s="0">
        <f>AJ8+U8+V8+W8+X8</f>
        <v/>
      </c>
      <c r="AM8" s="0" t="n">
        <v>1.57</v>
      </c>
      <c r="AN8" s="0" t="n">
        <v>11.75</v>
      </c>
      <c r="AO8" s="0" t="n">
        <v>0</v>
      </c>
      <c r="AP8" s="0" t="n">
        <v>24</v>
      </c>
      <c r="AQ8" s="0">
        <f>ROUND((MIN(AM8,10)/10*8)+(MIN(AN8,10)/10*6)+(MIN(AO8,10)/10*4)+(MIN(AP8,10)/10*2),2)</f>
        <v/>
      </c>
      <c r="AR8" s="0">
        <f>=IF(AQ8&gt;=67,"高",IF(AQ8&gt;=34,"中","低"))</f>
        <v/>
      </c>
      <c r="AS8" s="0">
        <f>=MIN(15,L8+M8)</f>
        <v/>
      </c>
      <c r="AT8" s="0" t="n">
        <v>2</v>
      </c>
      <c r="AU8" s="0" t="n">
        <v>2</v>
      </c>
      <c r="AV8" s="0" t="n">
        <v>3</v>
      </c>
      <c r="AW8" s="0">
        <f>=MIN(10,AT8+AU8+AV8)</f>
        <v/>
      </c>
      <c r="AX8" s="0" t="n">
        <v>1</v>
      </c>
      <c r="AY8" s="0" t="n">
        <v>0.5</v>
      </c>
      <c r="AZ8" s="0" t="n">
        <v>0.7</v>
      </c>
      <c r="BA8" s="0" t="n">
        <v>0.5</v>
      </c>
      <c r="BB8" s="0">
        <f>ROUND((AX8/2*0.4+AY8/1.5*0.3+AZ8/1*0.2+BA8/0.5*0.1)*100,2)</f>
        <v/>
      </c>
      <c r="BC8" s="0">
        <f>ROUND(AC8+AH8+AI8+AL8+AQ8+AS8+AW8+(BB8/100*5),2)</f>
        <v/>
      </c>
      <c r="BD8" s="0">
        <f>IF(BC8&lt;=20,"极弱",IF(BC8&lt;=40,"偏弱",IF(BC8&lt;=60,"中等",IF(BC8&lt;=80,"较强","卓越"))))</f>
        <v/>
      </c>
      <c r="BH8" s="0" t="inlineStr">
        <is>
          <t>抖音/快手</t>
        </is>
      </c>
    </row>
    <row r="9">
      <c r="A9" s="0" t="n">
        <v>8</v>
      </c>
      <c r="B9" s="0" t="inlineStr">
        <is>
          <t>开局一场豪赌！享受肆意潇洒人生</t>
        </is>
      </c>
      <c r="C9" s="0" t="inlineStr">
        <is>
          <t>/Users/mr.hu/Desktop/爆款排名/11.4日剧本/开局一场豪赌！享受肆意潇洒人生.docx</t>
        </is>
      </c>
      <c r="E9" s="0" t="n">
        <v>23.84</v>
      </c>
      <c r="F9" s="0" t="n">
        <v>19</v>
      </c>
      <c r="G9" s="0">
        <f>IF(E9&lt;=8,"15–20集",IF(E9&lt;=20,"20–30集","30–40集"))</f>
        <v/>
      </c>
      <c r="H9" s="0" t="inlineStr">
        <is>
          <t>男频</t>
        </is>
      </c>
      <c r="I9" s="0" t="inlineStr">
        <is>
          <t>古代</t>
        </is>
      </c>
      <c r="J9" s="0" t="inlineStr">
        <is>
          <t>职场/商战</t>
        </is>
      </c>
      <c r="K9" s="0" t="inlineStr">
        <is>
          <t>古装群像</t>
        </is>
      </c>
      <c r="L9" s="0" t="n">
        <v>5</v>
      </c>
      <c r="M9" s="0" t="n">
        <v>7</v>
      </c>
      <c r="N9" s="0" t="inlineStr">
        <is>
          <t>男性/下沉/45+</t>
        </is>
      </c>
      <c r="O9" s="0" t="inlineStr">
        <is>
          <t>周末黄金</t>
        </is>
      </c>
      <c r="P9" s="0" t="inlineStr">
        <is>
          <t>反转爽点</t>
        </is>
      </c>
      <c r="Q9" s="0" t="n">
        <v>3</v>
      </c>
      <c r="R9" s="0" t="n">
        <v>3</v>
      </c>
      <c r="S9" s="0" t="n">
        <v>3</v>
      </c>
      <c r="T9" s="0" t="n">
        <v>1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1</v>
      </c>
      <c r="Z9" s="0" t="n">
        <v>4</v>
      </c>
      <c r="AA9" s="0" t="n">
        <v>2</v>
      </c>
      <c r="AB9" s="0" t="n">
        <v>2</v>
      </c>
      <c r="AC9" s="0">
        <f>Y9+Z9+AA9+AB9</f>
        <v/>
      </c>
      <c r="AD9" s="0" t="n">
        <v>4</v>
      </c>
      <c r="AE9" s="0" t="n">
        <v>4</v>
      </c>
      <c r="AF9" s="0" t="n">
        <v>3</v>
      </c>
      <c r="AG9" s="0" t="n">
        <v>0</v>
      </c>
      <c r="AH9" s="0">
        <f>AD9+AE9+AF9+AG9</f>
        <v/>
      </c>
      <c r="AI9" s="0">
        <f>Q9+R9+S9+T9</f>
        <v/>
      </c>
      <c r="AJ9" s="0" t="n">
        <v>3</v>
      </c>
      <c r="AK9" s="0">
        <f>=U9</f>
        <v/>
      </c>
      <c r="AL9" s="0">
        <f>AJ9+U9+V9+W9+X9</f>
        <v/>
      </c>
      <c r="AM9" s="0" t="n">
        <v>3.36</v>
      </c>
      <c r="AN9" s="0" t="n">
        <v>3.78</v>
      </c>
      <c r="AO9" s="0" t="n">
        <v>50</v>
      </c>
      <c r="AP9" s="0" t="n">
        <v>12</v>
      </c>
      <c r="AQ9" s="0">
        <f>ROUND((MIN(AM9,10)/10*8)+(MIN(AN9,10)/10*6)+(MIN(AO9,10)/10*4)+(MIN(AP9,10)/10*2),2)</f>
        <v/>
      </c>
      <c r="AR9" s="0">
        <f>=IF(AQ9&gt;=67,"高",IF(AQ9&gt;=34,"中","低"))</f>
        <v/>
      </c>
      <c r="AS9" s="0">
        <f>=MIN(15,L9+M9)</f>
        <v/>
      </c>
      <c r="AT9" s="0" t="n">
        <v>3</v>
      </c>
      <c r="AU9" s="0" t="n">
        <v>2</v>
      </c>
      <c r="AV9" s="0" t="n">
        <v>2</v>
      </c>
      <c r="AW9" s="0">
        <f>=MIN(10,AT9+AU9+AV9)</f>
        <v/>
      </c>
      <c r="AX9" s="0" t="n">
        <v>2</v>
      </c>
      <c r="AY9" s="0" t="n">
        <v>0.7500000000000001</v>
      </c>
      <c r="AZ9" s="0" t="n">
        <v>0.775</v>
      </c>
      <c r="BA9" s="0" t="n">
        <v>0.5</v>
      </c>
      <c r="BB9" s="0">
        <f>ROUND((AX9/2*0.4+AY9/1.5*0.3+AZ9/1*0.2+BA9/0.5*0.1)*100,2)</f>
        <v/>
      </c>
      <c r="BC9" s="0">
        <f>ROUND(AC9+AH9+AI9+AL9+AQ9+AS9+AW9+(BB9/100*5),2)</f>
        <v/>
      </c>
      <c r="BD9" s="0">
        <f>IF(BC9&lt;=20,"极弱",IF(BC9&lt;=40,"偏弱",IF(BC9&lt;=60,"中等",IF(BC9&lt;=80,"较强","卓越"))))</f>
        <v/>
      </c>
      <c r="BH9" s="0" t="inlineStr">
        <is>
          <t>视频号/快手</t>
        </is>
      </c>
    </row>
    <row r="10">
      <c r="A10" s="0" t="n">
        <v>9</v>
      </c>
      <c r="B10" s="0" t="inlineStr">
        <is>
          <t>惊天大瓜，我在幕后爆料成神</t>
        </is>
      </c>
      <c r="C10" s="0" t="inlineStr">
        <is>
          <t>/Users/mr.hu/Desktop/爆款排名/11.4日剧本/惊天大瓜，我在幕后爆料成神.docx</t>
        </is>
      </c>
      <c r="E10" s="0" t="n">
        <v>21.38</v>
      </c>
      <c r="F10" s="0" t="n">
        <v>17</v>
      </c>
      <c r="G10" s="0">
        <f>IF(E10&lt;=8,"15–20集",IF(E10&lt;=20,"20–30集","30–40集"))</f>
        <v/>
      </c>
      <c r="H10" s="0" t="inlineStr">
        <is>
          <t>男频</t>
        </is>
      </c>
      <c r="I10" s="0" t="inlineStr">
        <is>
          <t>科幻/奇幻</t>
        </is>
      </c>
      <c r="J10" s="0" t="inlineStr">
        <is>
          <t>职场/商战</t>
        </is>
      </c>
      <c r="K10" s="0" t="inlineStr">
        <is>
          <t>写实都市</t>
        </is>
      </c>
      <c r="L10" s="0" t="n">
        <v>7</v>
      </c>
      <c r="M10" s="0" t="n">
        <v>5</v>
      </c>
      <c r="N10" s="0" t="inlineStr">
        <is>
          <t>男性/下沉/45+</t>
        </is>
      </c>
      <c r="O10" s="0" t="inlineStr">
        <is>
          <t>周末黄金</t>
        </is>
      </c>
      <c r="P10" s="0" t="inlineStr">
        <is>
          <t>反转爽点</t>
        </is>
      </c>
      <c r="Q10" s="0" t="n">
        <v>3</v>
      </c>
      <c r="R10" s="0" t="n">
        <v>3</v>
      </c>
      <c r="S10" s="0" t="n">
        <v>1</v>
      </c>
      <c r="T10" s="0" t="n">
        <v>1</v>
      </c>
      <c r="U10" s="0" t="n">
        <v>3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4</v>
      </c>
      <c r="AA10" s="0" t="n">
        <v>2</v>
      </c>
      <c r="AB10" s="0" t="n">
        <v>2</v>
      </c>
      <c r="AC10" s="0">
        <f>Y10+Z10+AA10+AB10</f>
        <v/>
      </c>
      <c r="AD10" s="0" t="n">
        <v>5</v>
      </c>
      <c r="AE10" s="0" t="n">
        <v>5</v>
      </c>
      <c r="AF10" s="0" t="n">
        <v>2</v>
      </c>
      <c r="AG10" s="0" t="n">
        <v>0</v>
      </c>
      <c r="AH10" s="0">
        <f>AD10+AE10+AF10+AG10</f>
        <v/>
      </c>
      <c r="AI10" s="0">
        <f>Q10+R10+S10+T10</f>
        <v/>
      </c>
      <c r="AJ10" s="0" t="n">
        <v>3</v>
      </c>
      <c r="AK10" s="0">
        <f>=U10</f>
        <v/>
      </c>
      <c r="AL10" s="0">
        <f>AJ10+U10+V10+W10+X10</f>
        <v/>
      </c>
      <c r="AM10" s="0" t="n">
        <v>0.9399999999999999</v>
      </c>
      <c r="AN10" s="0" t="n">
        <v>11.22</v>
      </c>
      <c r="AO10" s="0" t="n">
        <v>25</v>
      </c>
      <c r="AP10" s="0" t="n">
        <v>12</v>
      </c>
      <c r="AQ10" s="0">
        <f>ROUND((MIN(AM10,10)/10*8)+(MIN(AN10,10)/10*6)+(MIN(AO10,10)/10*4)+(MIN(AP10,10)/10*2),2)</f>
        <v/>
      </c>
      <c r="AR10" s="0">
        <f>=IF(AQ10&gt;=67,"高",IF(AQ10&gt;=34,"中","低"))</f>
        <v/>
      </c>
      <c r="AS10" s="0">
        <f>=MIN(15,L10+M10)</f>
        <v/>
      </c>
      <c r="AT10" s="0" t="n">
        <v>4</v>
      </c>
      <c r="AU10" s="0" t="n">
        <v>2</v>
      </c>
      <c r="AV10" s="0" t="n">
        <v>2</v>
      </c>
      <c r="AW10" s="0">
        <f>=MIN(10,AT10+AU10+AV10)</f>
        <v/>
      </c>
      <c r="AX10" s="0" t="n">
        <v>2</v>
      </c>
      <c r="AY10" s="0" t="n">
        <v>0.65</v>
      </c>
      <c r="AZ10" s="0" t="n">
        <v>0.8107142857142857</v>
      </c>
      <c r="BA10" s="0" t="n">
        <v>0.5</v>
      </c>
      <c r="BB10" s="0">
        <f>ROUND((AX10/2*0.4+AY10/1.5*0.3+AZ10/1*0.2+BA10/0.5*0.1)*100,2)</f>
        <v/>
      </c>
      <c r="BC10" s="0">
        <f>ROUND(AC10+AH10+AI10+AL10+AQ10+AS10+AW10+(BB10/100*5),2)</f>
        <v/>
      </c>
      <c r="BD10" s="0">
        <f>IF(BC10&lt;=20,"极弱",IF(BC10&lt;=40,"偏弱",IF(BC10&lt;=60,"中等",IF(BC10&lt;=80,"较强","卓越"))))</f>
        <v/>
      </c>
      <c r="BH10" s="0" t="inlineStr">
        <is>
          <t>视频号/快手</t>
        </is>
      </c>
    </row>
    <row r="11">
      <c r="A11" s="0" t="n">
        <v>10</v>
      </c>
      <c r="B11" s="0" t="inlineStr">
        <is>
          <t>我刚无敌，你就要跟我退婚？！</t>
        </is>
      </c>
      <c r="C11" s="0" t="inlineStr">
        <is>
          <t>/Users/mr.hu/Desktop/爆款排名/11.4日剧本/我刚无敌，你就要跟我退婚？！.docx</t>
        </is>
      </c>
      <c r="E11" s="0" t="n">
        <v>29.91</v>
      </c>
      <c r="F11" s="0" t="n">
        <v>24</v>
      </c>
      <c r="G11" s="0">
        <f>IF(E11&lt;=8,"15–20集",IF(E11&lt;=20,"20–30集","30–40集"))</f>
        <v/>
      </c>
      <c r="H11" s="0" t="inlineStr">
        <is>
          <t>女频</t>
        </is>
      </c>
      <c r="I11" s="0" t="inlineStr">
        <is>
          <t>古代</t>
        </is>
      </c>
      <c r="J11" s="0" t="inlineStr">
        <is>
          <t>玄幻修仙</t>
        </is>
      </c>
      <c r="K11" s="0" t="inlineStr">
        <is>
          <t>武侠动作</t>
        </is>
      </c>
      <c r="L11" s="0" t="n">
        <v>4</v>
      </c>
      <c r="M11" s="0" t="n">
        <v>5</v>
      </c>
      <c r="N11" s="0" t="inlineStr">
        <is>
          <t>女性/一二线/45+</t>
        </is>
      </c>
      <c r="O11" s="0" t="inlineStr">
        <is>
          <t>节假日前后</t>
        </is>
      </c>
      <c r="P11" s="0" t="inlineStr">
        <is>
          <t>反转爽点</t>
        </is>
      </c>
      <c r="Q11" s="0" t="n">
        <v>3</v>
      </c>
      <c r="R11" s="0" t="n">
        <v>3</v>
      </c>
      <c r="S11" s="0" t="n">
        <v>1</v>
      </c>
      <c r="T11" s="0" t="n">
        <v>1</v>
      </c>
      <c r="U11" s="0" t="n">
        <v>1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4</v>
      </c>
      <c r="AA11" s="0" t="n">
        <v>2</v>
      </c>
      <c r="AB11" s="0" t="n">
        <v>2</v>
      </c>
      <c r="AC11" s="0">
        <f>Y11+Z11+AA11+AB11</f>
        <v/>
      </c>
      <c r="AD11" s="0" t="n">
        <v>4</v>
      </c>
      <c r="AE11" s="0" t="n">
        <v>2</v>
      </c>
      <c r="AF11" s="0" t="n">
        <v>2</v>
      </c>
      <c r="AG11" s="0" t="n">
        <v>1</v>
      </c>
      <c r="AH11" s="0">
        <f>AD11+AE11+AF11+AG11</f>
        <v/>
      </c>
      <c r="AI11" s="0">
        <f>Q11+R11+S11+T11</f>
        <v/>
      </c>
      <c r="AJ11" s="0" t="n">
        <v>3</v>
      </c>
      <c r="AK11" s="0">
        <f>=U11</f>
        <v/>
      </c>
      <c r="AL11" s="0">
        <f>AJ11+U11+V11+W11+X11</f>
        <v/>
      </c>
      <c r="AM11" s="0" t="n">
        <v>0</v>
      </c>
      <c r="AN11" s="0" t="n">
        <v>1</v>
      </c>
      <c r="AO11" s="0" t="n">
        <v>0</v>
      </c>
      <c r="AP11" s="0" t="n">
        <v>0</v>
      </c>
      <c r="AQ11" s="0">
        <f>ROUND((MIN(AM11,10)/10*8)+(MIN(AN11,10)/10*6)+(MIN(AO11,10)/10*4)+(MIN(AP11,10)/10*2),2)</f>
        <v/>
      </c>
      <c r="AR11" s="0">
        <f>=IF(AQ11&gt;=67,"高",IF(AQ11&gt;=34,"中","低"))</f>
        <v/>
      </c>
      <c r="AS11" s="0">
        <f>=MIN(15,L11+M11)</f>
        <v/>
      </c>
      <c r="AT11" s="0" t="n">
        <v>2</v>
      </c>
      <c r="AU11" s="0" t="n">
        <v>2</v>
      </c>
      <c r="AV11" s="0" t="n">
        <v>2</v>
      </c>
      <c r="AW11" s="0">
        <f>=MIN(10,AT11+AU11+AV11)</f>
        <v/>
      </c>
      <c r="AX11" s="0" t="n">
        <v>2</v>
      </c>
      <c r="AY11" s="0" t="n">
        <v>0.5</v>
      </c>
      <c r="AZ11" s="0" t="n">
        <v>0.5857142857142857</v>
      </c>
      <c r="BA11" s="0" t="n">
        <v>0.5</v>
      </c>
      <c r="BB11" s="0">
        <f>ROUND((AX11/2*0.4+AY11/1.5*0.3+AZ11/1*0.2+BA11/0.5*0.1)*100,2)</f>
        <v/>
      </c>
      <c r="BC11" s="0">
        <f>ROUND(AC11+AH11+AI11+AL11+AQ11+AS11+AW11+(BB11/100*5),2)</f>
        <v/>
      </c>
      <c r="BD11" s="0">
        <f>IF(BC11&lt;=20,"极弱",IF(BC11&lt;=40,"偏弱",IF(BC11&lt;=60,"中等",IF(BC11&lt;=80,"较强","卓越"))))</f>
        <v/>
      </c>
      <c r="BH11" s="0" t="inlineStr">
        <is>
          <t>抖音/快手</t>
        </is>
      </c>
    </row>
    <row r="12">
      <c r="A12" s="0" t="n">
        <v>11</v>
      </c>
      <c r="B12" s="0" t="inlineStr">
        <is>
          <t>我的26岁女上司1</t>
        </is>
      </c>
      <c r="C12" s="0" t="inlineStr">
        <is>
          <t>/Users/mr.hu/Desktop/爆款排名/11.4日剧本/我的26岁女上司1.docx</t>
        </is>
      </c>
      <c r="E12" s="0" t="n">
        <v>20.43</v>
      </c>
      <c r="F12" s="0" t="n">
        <v>17</v>
      </c>
      <c r="G12" s="0">
        <f>IF(E12&lt;=8,"15–20集",IF(E12&lt;=20,"20–30集","30–40集"))</f>
        <v/>
      </c>
      <c r="H12" s="0" t="inlineStr">
        <is>
          <t>男频</t>
        </is>
      </c>
      <c r="I12" s="0" t="inlineStr">
        <is>
          <t>现代</t>
        </is>
      </c>
      <c r="J12" s="0" t="inlineStr">
        <is>
          <t>职场/商战</t>
        </is>
      </c>
      <c r="K12" s="0" t="inlineStr">
        <is>
          <t>写实都市</t>
        </is>
      </c>
      <c r="L12" s="0" t="n">
        <v>6</v>
      </c>
      <c r="M12" s="0" t="n">
        <v>7</v>
      </c>
      <c r="N12" s="0" t="inlineStr">
        <is>
          <t>男性/一二线/18–35</t>
        </is>
      </c>
      <c r="O12" s="0" t="inlineStr">
        <is>
          <t>节假日前后</t>
        </is>
      </c>
      <c r="P12" s="0" t="inlineStr">
        <is>
          <t>成长救赎</t>
        </is>
      </c>
      <c r="Q12" s="0" t="n">
        <v>3</v>
      </c>
      <c r="R12" s="0" t="n">
        <v>2</v>
      </c>
      <c r="S12" s="0" t="n">
        <v>3</v>
      </c>
      <c r="T12" s="0" t="n">
        <v>1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4</v>
      </c>
      <c r="AA12" s="0" t="n">
        <v>2</v>
      </c>
      <c r="AB12" s="0" t="n">
        <v>2</v>
      </c>
      <c r="AC12" s="0">
        <f>Y12+Z12+AA12+AB12</f>
        <v/>
      </c>
      <c r="AD12" s="0" t="n">
        <v>2</v>
      </c>
      <c r="AE12" s="0" t="n">
        <v>3</v>
      </c>
      <c r="AF12" s="0" t="n">
        <v>3</v>
      </c>
      <c r="AG12" s="0" t="n">
        <v>1</v>
      </c>
      <c r="AH12" s="0">
        <f>AD12+AE12+AF12+AG12</f>
        <v/>
      </c>
      <c r="AI12" s="0">
        <f>Q12+R12+S12+T12</f>
        <v/>
      </c>
      <c r="AJ12" s="0" t="n">
        <v>3</v>
      </c>
      <c r="AK12" s="0">
        <f>=U12</f>
        <v/>
      </c>
      <c r="AL12" s="0">
        <f>AJ12+U12+V12+W12+X12</f>
        <v/>
      </c>
      <c r="AM12" s="0" t="n">
        <v>0.98</v>
      </c>
      <c r="AN12" s="0" t="n">
        <v>2.94</v>
      </c>
      <c r="AO12" s="0" t="n">
        <v>25</v>
      </c>
      <c r="AP12" s="0" t="n">
        <v>24</v>
      </c>
      <c r="AQ12" s="0">
        <f>ROUND((MIN(AM12,10)/10*8)+(MIN(AN12,10)/10*6)+(MIN(AO12,10)/10*4)+(MIN(AP12,10)/10*2),2)</f>
        <v/>
      </c>
      <c r="AR12" s="0">
        <f>=IF(AQ12&gt;=67,"高",IF(AQ12&gt;=34,"中","低"))</f>
        <v/>
      </c>
      <c r="AS12" s="0">
        <f>=MIN(15,L12+M12)</f>
        <v/>
      </c>
      <c r="AT12" s="0" t="n">
        <v>3</v>
      </c>
      <c r="AU12" s="0" t="n">
        <v>2</v>
      </c>
      <c r="AV12" s="0" t="n">
        <v>3</v>
      </c>
      <c r="AW12" s="0">
        <f>=MIN(10,AT12+AU12+AV12)</f>
        <v/>
      </c>
      <c r="AX12" s="0" t="n">
        <v>2</v>
      </c>
      <c r="AY12" s="0" t="n">
        <v>0.6000000000000001</v>
      </c>
      <c r="AZ12" s="0" t="n">
        <v>0.85</v>
      </c>
      <c r="BA12" s="0" t="n">
        <v>0.5</v>
      </c>
      <c r="BB12" s="0">
        <f>ROUND((AX12/2*0.4+AY12/1.5*0.3+AZ12/1*0.2+BA12/0.5*0.1)*100,2)</f>
        <v/>
      </c>
      <c r="BC12" s="0">
        <f>ROUND(AC12+AH12+AI12+AL12+AQ12+AS12+AW12+(BB12/100*5),2)</f>
        <v/>
      </c>
      <c r="BD12" s="0">
        <f>IF(BC12&lt;=20,"极弱",IF(BC12&lt;=40,"偏弱",IF(BC12&lt;=60,"中等",IF(BC12&lt;=80,"较强","卓越"))))</f>
        <v/>
      </c>
      <c r="BH12" s="0" t="inlineStr">
        <is>
          <t>抖音/快手</t>
        </is>
      </c>
    </row>
    <row r="13">
      <c r="A13" s="0" t="n">
        <v>12</v>
      </c>
      <c r="B13" s="0" t="inlineStr">
        <is>
          <t>我身旁的极品美女们</t>
        </is>
      </c>
      <c r="C13" s="0" t="inlineStr">
        <is>
          <t>/Users/mr.hu/Desktop/爆款排名/11.4日剧本/我身旁的极品美女们.docx</t>
        </is>
      </c>
      <c r="E13" s="0" t="n">
        <v>29.43</v>
      </c>
      <c r="F13" s="0" t="n">
        <v>24</v>
      </c>
      <c r="G13" s="0">
        <f>IF(E13&lt;=8,"15–20集",IF(E13&lt;=20,"20–30集","30–40集"))</f>
        <v/>
      </c>
      <c r="H13" s="0" t="inlineStr">
        <is>
          <t>男频</t>
        </is>
      </c>
      <c r="I13" s="0" t="inlineStr">
        <is>
          <t>古代</t>
        </is>
      </c>
      <c r="J13" s="0" t="inlineStr">
        <is>
          <t>职场/商战</t>
        </is>
      </c>
      <c r="K13" s="0" t="inlineStr">
        <is>
          <t>古装群像</t>
        </is>
      </c>
      <c r="L13" s="0" t="n">
        <v>5</v>
      </c>
      <c r="M13" s="0" t="n">
        <v>5</v>
      </c>
      <c r="N13" s="0" t="inlineStr">
        <is>
          <t>男性/一二线/18–35</t>
        </is>
      </c>
      <c r="O13" s="0" t="inlineStr">
        <is>
          <t>节假日前后</t>
        </is>
      </c>
      <c r="P13" s="0" t="inlineStr">
        <is>
          <t>反转爽点</t>
        </is>
      </c>
      <c r="Q13" s="0" t="n">
        <v>3</v>
      </c>
      <c r="R13" s="0" t="n">
        <v>2</v>
      </c>
      <c r="S13" s="0" t="n">
        <v>3</v>
      </c>
      <c r="T13" s="0" t="n">
        <v>1</v>
      </c>
      <c r="U13" s="0" t="n">
        <v>1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4</v>
      </c>
      <c r="AA13" s="0" t="n">
        <v>2</v>
      </c>
      <c r="AB13" s="0" t="n">
        <v>2</v>
      </c>
      <c r="AC13" s="0">
        <f>Y13+Z13+AA13+AB13</f>
        <v/>
      </c>
      <c r="AD13" s="0" t="n">
        <v>2</v>
      </c>
      <c r="AE13" s="0" t="n">
        <v>3</v>
      </c>
      <c r="AF13" s="0" t="n">
        <v>3</v>
      </c>
      <c r="AG13" s="0" t="n">
        <v>1</v>
      </c>
      <c r="AH13" s="0">
        <f>AD13+AE13+AF13+AG13</f>
        <v/>
      </c>
      <c r="AI13" s="0">
        <f>Q13+R13+S13+T13</f>
        <v/>
      </c>
      <c r="AJ13" s="0" t="n">
        <v>3</v>
      </c>
      <c r="AK13" s="0">
        <f>=U13</f>
        <v/>
      </c>
      <c r="AL13" s="0">
        <f>AJ13+U13+V13+W13+X13</f>
        <v/>
      </c>
      <c r="AM13" s="0" t="n">
        <v>1.36</v>
      </c>
      <c r="AN13" s="0" t="n">
        <v>1.02</v>
      </c>
      <c r="AO13" s="0" t="n">
        <v>25</v>
      </c>
      <c r="AP13" s="0" t="n">
        <v>24</v>
      </c>
      <c r="AQ13" s="0">
        <f>ROUND((MIN(AM13,10)/10*8)+(MIN(AN13,10)/10*6)+(MIN(AO13,10)/10*4)+(MIN(AP13,10)/10*2),2)</f>
        <v/>
      </c>
      <c r="AR13" s="0">
        <f>=IF(AQ13&gt;=67,"高",IF(AQ13&gt;=34,"中","低"))</f>
        <v/>
      </c>
      <c r="AS13" s="0">
        <f>=MIN(15,L13+M13)</f>
        <v/>
      </c>
      <c r="AT13" s="0" t="n">
        <v>3</v>
      </c>
      <c r="AU13" s="0" t="n">
        <v>2</v>
      </c>
      <c r="AV13" s="0" t="n">
        <v>2</v>
      </c>
      <c r="AW13" s="0">
        <f>=MIN(10,AT13+AU13+AV13)</f>
        <v/>
      </c>
      <c r="AX13" s="0" t="n">
        <v>2</v>
      </c>
      <c r="AY13" s="0" t="n">
        <v>0.6499999999999999</v>
      </c>
      <c r="AZ13" s="0" t="n">
        <v>0.6607142857142858</v>
      </c>
      <c r="BA13" s="0" t="n">
        <v>0.5</v>
      </c>
      <c r="BB13" s="0">
        <f>ROUND((AX13/2*0.4+AY13/1.5*0.3+AZ13/1*0.2+BA13/0.5*0.1)*100,2)</f>
        <v/>
      </c>
      <c r="BC13" s="0">
        <f>ROUND(AC13+AH13+AI13+AL13+AQ13+AS13+AW13+(BB13/100*5),2)</f>
        <v/>
      </c>
      <c r="BD13" s="0">
        <f>IF(BC13&lt;=20,"极弱",IF(BC13&lt;=40,"偏弱",IF(BC13&lt;=60,"中等",IF(BC13&lt;=80,"较强","卓越"))))</f>
        <v/>
      </c>
      <c r="BH13" s="0" t="inlineStr">
        <is>
          <t>抖音/快手</t>
        </is>
      </c>
    </row>
    <row r="14">
      <c r="A14" s="0" t="n">
        <v>13</v>
      </c>
      <c r="B14" s="0" t="inlineStr">
        <is>
          <t>挂机万亿年，我比天道还有钱！</t>
        </is>
      </c>
      <c r="C14" s="0" t="inlineStr">
        <is>
          <t>/Users/mr.hu/Desktop/爆款排名/11.4日剧本/挂机万亿年，我比天道还有钱！.docx</t>
        </is>
      </c>
      <c r="E14" s="0" t="n">
        <v>26.78</v>
      </c>
      <c r="F14" s="0" t="n">
        <v>22</v>
      </c>
      <c r="G14" s="0">
        <f>IF(E14&lt;=8,"15–20集",IF(E14&lt;=20,"20–30集","30–40集"))</f>
        <v/>
      </c>
      <c r="H14" s="0" t="inlineStr">
        <is>
          <t>男频</t>
        </is>
      </c>
      <c r="I14" s="0" t="inlineStr">
        <is>
          <t>古代</t>
        </is>
      </c>
      <c r="J14" s="0" t="inlineStr">
        <is>
          <t>玄幻修仙</t>
        </is>
      </c>
      <c r="K14" s="0" t="inlineStr">
        <is>
          <t>武侠动作</t>
        </is>
      </c>
      <c r="L14" s="0" t="n">
        <v>4</v>
      </c>
      <c r="M14" s="0" t="n">
        <v>7</v>
      </c>
      <c r="N14" s="0" t="inlineStr">
        <is>
          <t>男性/一二线/45+</t>
        </is>
      </c>
      <c r="O14" s="0" t="inlineStr">
        <is>
          <t>节假日前后</t>
        </is>
      </c>
      <c r="P14" s="0" t="inlineStr">
        <is>
          <t>成长救赎</t>
        </is>
      </c>
      <c r="Q14" s="0" t="n">
        <v>3</v>
      </c>
      <c r="R14" s="0" t="n">
        <v>3</v>
      </c>
      <c r="S14" s="0" t="n">
        <v>3</v>
      </c>
      <c r="T14" s="0" t="n">
        <v>1</v>
      </c>
      <c r="U14" s="0" t="n">
        <v>1</v>
      </c>
      <c r="V14" s="0" t="n">
        <v>2</v>
      </c>
      <c r="W14" s="0" t="n">
        <v>0</v>
      </c>
      <c r="X14" s="0" t="n">
        <v>1</v>
      </c>
      <c r="Y14" s="0" t="n">
        <v>6</v>
      </c>
      <c r="Z14" s="0" t="n">
        <v>4</v>
      </c>
      <c r="AA14" s="0" t="n">
        <v>2</v>
      </c>
      <c r="AB14" s="0" t="n">
        <v>2</v>
      </c>
      <c r="AC14" s="0">
        <f>Y14+Z14+AA14+AB14</f>
        <v/>
      </c>
      <c r="AD14" s="0" t="n">
        <v>5</v>
      </c>
      <c r="AE14" s="0" t="n">
        <v>3</v>
      </c>
      <c r="AF14" s="0" t="n">
        <v>2</v>
      </c>
      <c r="AG14" s="0" t="n">
        <v>1</v>
      </c>
      <c r="AH14" s="0">
        <f>AD14+AE14+AF14+AG14</f>
        <v/>
      </c>
      <c r="AI14" s="0">
        <f>Q14+R14+S14+T14</f>
        <v/>
      </c>
      <c r="AJ14" s="0" t="n">
        <v>2</v>
      </c>
      <c r="AK14" s="0">
        <f>=U14</f>
        <v/>
      </c>
      <c r="AL14" s="0">
        <f>AJ14+U14+V14+W14+X14</f>
        <v/>
      </c>
      <c r="AM14" s="0" t="n">
        <v>1.49</v>
      </c>
      <c r="AN14" s="0" t="n">
        <v>2.24</v>
      </c>
      <c r="AO14" s="0" t="n">
        <v>0</v>
      </c>
      <c r="AP14" s="0" t="n">
        <v>12</v>
      </c>
      <c r="AQ14" s="0">
        <f>ROUND((MIN(AM14,10)/10*8)+(MIN(AN14,10)/10*6)+(MIN(AO14,10)/10*4)+(MIN(AP14,10)/10*2),2)</f>
        <v/>
      </c>
      <c r="AR14" s="0">
        <f>=IF(AQ14&gt;=67,"高",IF(AQ14&gt;=34,"中","低"))</f>
        <v/>
      </c>
      <c r="AS14" s="0">
        <f>=MIN(15,L14+M14)</f>
        <v/>
      </c>
      <c r="AT14" s="0" t="n">
        <v>3</v>
      </c>
      <c r="AU14" s="0" t="n">
        <v>2</v>
      </c>
      <c r="AV14" s="0" t="n">
        <v>3</v>
      </c>
      <c r="AW14" s="0">
        <f>=MIN(10,AT14+AU14+AV14)</f>
        <v/>
      </c>
      <c r="AX14" s="0" t="n">
        <v>2</v>
      </c>
      <c r="AY14" s="0" t="n">
        <v>0.5</v>
      </c>
      <c r="AZ14" s="0" t="n">
        <v>0.7</v>
      </c>
      <c r="BA14" s="0" t="n">
        <v>0.5</v>
      </c>
      <c r="BB14" s="0">
        <f>ROUND((AX14/2*0.4+AY14/1.5*0.3+AZ14/1*0.2+BA14/0.5*0.1)*100,2)</f>
        <v/>
      </c>
      <c r="BC14" s="0">
        <f>ROUND(AC14+AH14+AI14+AL14+AQ14+AS14+AW14+(BB14/100*5),2)</f>
        <v/>
      </c>
      <c r="BD14" s="0">
        <f>IF(BC14&lt;=20,"极弱",IF(BC14&lt;=40,"偏弱",IF(BC14&lt;=60,"中等",IF(BC14&lt;=80,"较强","卓越"))))</f>
        <v/>
      </c>
      <c r="BH14" s="0" t="inlineStr">
        <is>
          <t>抖音/快手</t>
        </is>
      </c>
    </row>
    <row r="15">
      <c r="A15" s="0" t="n">
        <v>14</v>
      </c>
      <c r="B15" s="0" t="inlineStr">
        <is>
          <t>搞校园霸凌？真当我没靠山啊？</t>
        </is>
      </c>
      <c r="C15" s="0" t="inlineStr">
        <is>
          <t>/Users/mr.hu/Desktop/爆款排名/11.4日剧本/搞校园霸凌？真当我没靠山啊？.docx</t>
        </is>
      </c>
      <c r="E15" s="0" t="n">
        <v>25.27</v>
      </c>
      <c r="F15" s="0" t="n">
        <v>21</v>
      </c>
      <c r="G15" s="0">
        <f>IF(E15&lt;=8,"15–20集",IF(E15&lt;=20,"20–30集","30–40集"))</f>
        <v/>
      </c>
      <c r="H15" s="0" t="inlineStr">
        <is>
          <t>男频</t>
        </is>
      </c>
      <c r="I15" s="0" t="inlineStr">
        <is>
          <t>科幻/奇幻</t>
        </is>
      </c>
      <c r="J15" s="0" t="inlineStr">
        <is>
          <t>职场/商战</t>
        </is>
      </c>
      <c r="K15" s="0" t="inlineStr">
        <is>
          <t>写实都市</t>
        </is>
      </c>
      <c r="L15" s="0" t="n">
        <v>6</v>
      </c>
      <c r="M15" s="0" t="n">
        <v>5</v>
      </c>
      <c r="N15" s="0" t="inlineStr">
        <is>
          <t>男性/一二线/45+</t>
        </is>
      </c>
      <c r="O15" s="0" t="inlineStr">
        <is>
          <t>周末黄金</t>
        </is>
      </c>
      <c r="P15" s="0" t="inlineStr">
        <is>
          <t>反转爽点</t>
        </is>
      </c>
      <c r="Q15" s="0" t="n">
        <v>3</v>
      </c>
      <c r="R15" s="0" t="n">
        <v>3</v>
      </c>
      <c r="S15" s="0" t="n">
        <v>3</v>
      </c>
      <c r="T15" s="0" t="n">
        <v>1</v>
      </c>
      <c r="U15" s="0" t="n">
        <v>1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4</v>
      </c>
      <c r="AA15" s="0" t="n">
        <v>2</v>
      </c>
      <c r="AB15" s="0" t="n">
        <v>1</v>
      </c>
      <c r="AC15" s="0">
        <f>Y15+Z15+AA15+AB15</f>
        <v/>
      </c>
      <c r="AD15" s="0" t="n">
        <v>5</v>
      </c>
      <c r="AE15" s="0" t="n">
        <v>6</v>
      </c>
      <c r="AF15" s="0" t="n">
        <v>3</v>
      </c>
      <c r="AG15" s="0" t="n">
        <v>1</v>
      </c>
      <c r="AH15" s="0">
        <f>AD15+AE15+AF15+AG15</f>
        <v/>
      </c>
      <c r="AI15" s="0">
        <f>Q15+R15+S15+T15</f>
        <v/>
      </c>
      <c r="AJ15" s="0" t="n">
        <v>3</v>
      </c>
      <c r="AK15" s="0">
        <f>=U15</f>
        <v/>
      </c>
      <c r="AL15" s="0">
        <f>AJ15+U15+V15+W15+X15</f>
        <v/>
      </c>
      <c r="AM15" s="0" t="n">
        <v>4.75</v>
      </c>
      <c r="AN15" s="0" t="n">
        <v>9.5</v>
      </c>
      <c r="AO15" s="0" t="n">
        <v>25</v>
      </c>
      <c r="AP15" s="0" t="n">
        <v>36</v>
      </c>
      <c r="AQ15" s="0">
        <f>ROUND((MIN(AM15,10)/10*8)+(MIN(AN15,10)/10*6)+(MIN(AO15,10)/10*4)+(MIN(AP15,10)/10*2),2)</f>
        <v/>
      </c>
      <c r="AR15" s="0">
        <f>=IF(AQ15&gt;=67,"高",IF(AQ15&gt;=34,"中","低"))</f>
        <v/>
      </c>
      <c r="AS15" s="0">
        <f>=MIN(15,L15+M15)</f>
        <v/>
      </c>
      <c r="AT15" s="0" t="n">
        <v>3</v>
      </c>
      <c r="AU15" s="0" t="n">
        <v>2</v>
      </c>
      <c r="AV15" s="0" t="n">
        <v>2</v>
      </c>
      <c r="AW15" s="0">
        <f>=MIN(10,AT15+AU15+AV15)</f>
        <v/>
      </c>
      <c r="AX15" s="0" t="n">
        <v>2</v>
      </c>
      <c r="AY15" s="0" t="n">
        <v>1.45</v>
      </c>
      <c r="AZ15" s="0" t="n">
        <v>0.7357142857142858</v>
      </c>
      <c r="BA15" s="0" t="n">
        <v>0.5</v>
      </c>
      <c r="BB15" s="0">
        <f>ROUND((AX15/2*0.4+AY15/1.5*0.3+AZ15/1*0.2+BA15/0.5*0.1)*100,2)</f>
        <v/>
      </c>
      <c r="BC15" s="0">
        <f>ROUND(AC15+AH15+AI15+AL15+AQ15+AS15+AW15+(BB15/100*5),2)</f>
        <v/>
      </c>
      <c r="BD15" s="0">
        <f>IF(BC15&lt;=20,"极弱",IF(BC15&lt;=40,"偏弱",IF(BC15&lt;=60,"中等",IF(BC15&lt;=80,"较强","卓越"))))</f>
        <v/>
      </c>
      <c r="BH15" s="0" t="inlineStr">
        <is>
          <t>抖音/快手</t>
        </is>
      </c>
    </row>
    <row r="16">
      <c r="A16" s="0" t="n">
        <v>15</v>
      </c>
      <c r="B16" s="0" t="inlineStr">
        <is>
          <t>死亡开局？携娇妻登权力之巅</t>
        </is>
      </c>
      <c r="C16" s="0" t="inlineStr">
        <is>
          <t>/Users/mr.hu/Desktop/爆款排名/11.4日剧本/死亡开局？携娇妻登权力之巅.docx</t>
        </is>
      </c>
      <c r="E16" s="0" t="n">
        <v>19.29</v>
      </c>
      <c r="F16" s="0" t="n">
        <v>16</v>
      </c>
      <c r="G16" s="0">
        <f>IF(E16&lt;=8,"15–20集",IF(E16&lt;=20,"20–30集","30–40集"))</f>
        <v/>
      </c>
      <c r="H16" s="0" t="inlineStr">
        <is>
          <t>男频</t>
        </is>
      </c>
      <c r="I16" s="0" t="inlineStr">
        <is>
          <t>科幻/奇幻</t>
        </is>
      </c>
      <c r="J16" s="0" t="inlineStr">
        <is>
          <t>职场/商战</t>
        </is>
      </c>
      <c r="K16" s="0" t="inlineStr">
        <is>
          <t>写实都市</t>
        </is>
      </c>
      <c r="L16" s="0" t="n">
        <v>5</v>
      </c>
      <c r="M16" s="0" t="n">
        <v>7</v>
      </c>
      <c r="N16" s="0" t="inlineStr">
        <is>
          <t>男性/一二线/45+</t>
        </is>
      </c>
      <c r="O16" s="0" t="inlineStr">
        <is>
          <t>周末黄金</t>
        </is>
      </c>
      <c r="P16" s="0" t="inlineStr">
        <is>
          <t>反转爽点</t>
        </is>
      </c>
      <c r="Q16" s="0" t="n">
        <v>3</v>
      </c>
      <c r="R16" s="0" t="n">
        <v>2</v>
      </c>
      <c r="S16" s="0" t="n">
        <v>3</v>
      </c>
      <c r="T16" s="0" t="n">
        <v>1</v>
      </c>
      <c r="U16" s="0" t="n">
        <v>2</v>
      </c>
      <c r="V16" s="0" t="n">
        <v>2</v>
      </c>
      <c r="W16" s="0" t="n">
        <v>0</v>
      </c>
      <c r="X16" s="0" t="n">
        <v>1</v>
      </c>
      <c r="Y16" s="0" t="n">
        <v>1</v>
      </c>
      <c r="Z16" s="0" t="n">
        <v>4</v>
      </c>
      <c r="AA16" s="0" t="n">
        <v>2</v>
      </c>
      <c r="AB16" s="0" t="n">
        <v>2</v>
      </c>
      <c r="AC16" s="0">
        <f>Y16+Z16+AA16+AB16</f>
        <v/>
      </c>
      <c r="AD16" s="0" t="n">
        <v>4</v>
      </c>
      <c r="AE16" s="0" t="n">
        <v>5</v>
      </c>
      <c r="AF16" s="0" t="n">
        <v>2</v>
      </c>
      <c r="AG16" s="0" t="n">
        <v>1</v>
      </c>
      <c r="AH16" s="0">
        <f>AD16+AE16+AF16+AG16</f>
        <v/>
      </c>
      <c r="AI16" s="0">
        <f>Q16+R16+S16+T16</f>
        <v/>
      </c>
      <c r="AJ16" s="0" t="n">
        <v>3</v>
      </c>
      <c r="AK16" s="0">
        <f>=U16</f>
        <v/>
      </c>
      <c r="AL16" s="0">
        <f>AJ16+U16+V16+W16+X16</f>
        <v/>
      </c>
      <c r="AM16" s="0" t="n">
        <v>4.15</v>
      </c>
      <c r="AN16" s="0" t="n">
        <v>6.22</v>
      </c>
      <c r="AO16" s="0" t="n">
        <v>25</v>
      </c>
      <c r="AP16" s="0" t="n">
        <v>36</v>
      </c>
      <c r="AQ16" s="0">
        <f>ROUND((MIN(AM16,10)/10*8)+(MIN(AN16,10)/10*6)+(MIN(AO16,10)/10*4)+(MIN(AP16,10)/10*2),2)</f>
        <v/>
      </c>
      <c r="AR16" s="0">
        <f>=IF(AQ16&gt;=67,"高",IF(AQ16&gt;=34,"中","低"))</f>
        <v/>
      </c>
      <c r="AS16" s="0">
        <f>=MIN(15,L16+M16)</f>
        <v/>
      </c>
      <c r="AT16" s="0" t="n">
        <v>3</v>
      </c>
      <c r="AU16" s="0" t="n">
        <v>2</v>
      </c>
      <c r="AV16" s="0" t="n">
        <v>2</v>
      </c>
      <c r="AW16" s="0">
        <f>=MIN(10,AT16+AU16+AV16)</f>
        <v/>
      </c>
      <c r="AX16" s="0" t="n">
        <v>2</v>
      </c>
      <c r="AY16" s="0" t="n">
        <v>1.35</v>
      </c>
      <c r="AZ16" s="0" t="n">
        <v>0.775</v>
      </c>
      <c r="BA16" s="0" t="n">
        <v>0.5</v>
      </c>
      <c r="BB16" s="0">
        <f>ROUND((AX16/2*0.4+AY16/1.5*0.3+AZ16/1*0.2+BA16/0.5*0.1)*100,2)</f>
        <v/>
      </c>
      <c r="BC16" s="0">
        <f>ROUND(AC16+AH16+AI16+AL16+AQ16+AS16+AW16+(BB16/100*5),2)</f>
        <v/>
      </c>
      <c r="BD16" s="0">
        <f>IF(BC16&lt;=20,"极弱",IF(BC16&lt;=40,"偏弱",IF(BC16&lt;=60,"中等",IF(BC16&lt;=80,"较强","卓越"))))</f>
        <v/>
      </c>
      <c r="BH16" s="0" t="inlineStr">
        <is>
          <t>抖音/快手</t>
        </is>
      </c>
    </row>
    <row r="17">
      <c r="A17" s="0" t="n">
        <v>16</v>
      </c>
      <c r="B17" s="0" t="inlineStr">
        <is>
          <t>激活伪装系统后，高冷校花说爱我</t>
        </is>
      </c>
      <c r="C17" s="0" t="inlineStr">
        <is>
          <t>/Users/mr.hu/Desktop/爆款排名/11.4日剧本/激活伪装系统后，高冷校花说爱我.docx</t>
        </is>
      </c>
      <c r="E17" s="0" t="n">
        <v>17.34</v>
      </c>
      <c r="F17" s="0" t="n">
        <v>14</v>
      </c>
      <c r="G17" s="0">
        <f>IF(E17&lt;=8,"15–20集",IF(E17&lt;=20,"20–30集","30–40集"))</f>
        <v/>
      </c>
      <c r="H17" s="0" t="inlineStr">
        <is>
          <t>男频</t>
        </is>
      </c>
      <c r="I17" s="0" t="inlineStr">
        <is>
          <t>现代</t>
        </is>
      </c>
      <c r="J17" s="0" t="inlineStr">
        <is>
          <t>职场/商战</t>
        </is>
      </c>
      <c r="K17" s="0" t="inlineStr">
        <is>
          <t>写实都市</t>
        </is>
      </c>
      <c r="L17" s="0" t="n">
        <v>5</v>
      </c>
      <c r="M17" s="0" t="n">
        <v>5</v>
      </c>
      <c r="N17" s="0" t="inlineStr">
        <is>
          <t>男性/下沉/18–35</t>
        </is>
      </c>
      <c r="O17" s="0" t="inlineStr">
        <is>
          <t>周末黄金</t>
        </is>
      </c>
      <c r="P17" s="0" t="inlineStr">
        <is>
          <t>反转爽点</t>
        </is>
      </c>
      <c r="Q17" s="0" t="n">
        <v>3</v>
      </c>
      <c r="R17" s="0" t="n">
        <v>3</v>
      </c>
      <c r="S17" s="0" t="n">
        <v>2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4</v>
      </c>
      <c r="AA17" s="0" t="n">
        <v>2</v>
      </c>
      <c r="AB17" s="0" t="n">
        <v>2</v>
      </c>
      <c r="AC17" s="0">
        <f>Y17+Z17+AA17+AB17</f>
        <v/>
      </c>
      <c r="AD17" s="0" t="n">
        <v>4</v>
      </c>
      <c r="AE17" s="0" t="n">
        <v>4</v>
      </c>
      <c r="AF17" s="0" t="n">
        <v>2</v>
      </c>
      <c r="AG17" s="0" t="n">
        <v>1</v>
      </c>
      <c r="AH17" s="0">
        <f>AD17+AE17+AF17+AG17</f>
        <v/>
      </c>
      <c r="AI17" s="0">
        <f>Q17+R17+S17+T17</f>
        <v/>
      </c>
      <c r="AJ17" s="0" t="n">
        <v>3</v>
      </c>
      <c r="AK17" s="0">
        <f>=U17</f>
        <v/>
      </c>
      <c r="AL17" s="0">
        <f>AJ17+U17+V17+W17+X17</f>
        <v/>
      </c>
      <c r="AM17" s="0" t="n">
        <v>3.46</v>
      </c>
      <c r="AN17" s="0" t="n">
        <v>3.46</v>
      </c>
      <c r="AO17" s="0" t="n">
        <v>0</v>
      </c>
      <c r="AP17" s="0" t="n">
        <v>24</v>
      </c>
      <c r="AQ17" s="0">
        <f>ROUND((MIN(AM17,10)/10*8)+(MIN(AN17,10)/10*6)+(MIN(AO17,10)/10*4)+(MIN(AP17,10)/10*2),2)</f>
        <v/>
      </c>
      <c r="AR17" s="0">
        <f>=IF(AQ17&gt;=67,"高",IF(AQ17&gt;=34,"中","低"))</f>
        <v/>
      </c>
      <c r="AS17" s="0">
        <f>=MIN(15,L17+M17)</f>
        <v/>
      </c>
      <c r="AT17" s="0" t="n">
        <v>3</v>
      </c>
      <c r="AU17" s="0" t="n">
        <v>2</v>
      </c>
      <c r="AV17" s="0" t="n">
        <v>3</v>
      </c>
      <c r="AW17" s="0">
        <f>=MIN(10,AT17+AU17+AV17)</f>
        <v/>
      </c>
      <c r="AX17" s="0" t="n">
        <v>2</v>
      </c>
      <c r="AY17" s="0" t="n">
        <v>0.55</v>
      </c>
      <c r="AZ17" s="0" t="n">
        <v>0.6607142857142858</v>
      </c>
      <c r="BA17" s="0" t="n">
        <v>0.5</v>
      </c>
      <c r="BB17" s="0">
        <f>ROUND((AX17/2*0.4+AY17/1.5*0.3+AZ17/1*0.2+BA17/0.5*0.1)*100,2)</f>
        <v/>
      </c>
      <c r="BC17" s="0">
        <f>ROUND(AC17+AH17+AI17+AL17+AQ17+AS17+AW17+(BB17/100*5),2)</f>
        <v/>
      </c>
      <c r="BD17" s="0">
        <f>IF(BC17&lt;=20,"极弱",IF(BC17&lt;=40,"偏弱",IF(BC17&lt;=60,"中等",IF(BC17&lt;=80,"较强","卓越"))))</f>
        <v/>
      </c>
      <c r="BH17" s="0" t="inlineStr">
        <is>
          <t>视频号/快手</t>
        </is>
      </c>
    </row>
    <row r="18">
      <c r="A18" s="0" t="n">
        <v>17</v>
      </c>
      <c r="B18" s="0" t="inlineStr">
        <is>
          <t>狩猎86：我带全家喝酒吃肉</t>
        </is>
      </c>
      <c r="C18" s="0" t="inlineStr">
        <is>
          <t>/Users/mr.hu/Desktop/爆款排名/11.4日剧本/狩猎86：我带全家喝酒吃肉.docx</t>
        </is>
      </c>
      <c r="E18" s="0" t="n">
        <v>26.13</v>
      </c>
      <c r="F18" s="0" t="n">
        <v>21</v>
      </c>
      <c r="G18" s="0">
        <f>IF(E18&lt;=8,"15–20集",IF(E18&lt;=20,"20–30集","30–40集"))</f>
        <v/>
      </c>
      <c r="H18" s="0" t="inlineStr">
        <is>
          <t>男频</t>
        </is>
      </c>
      <c r="I18" s="0" t="inlineStr">
        <is>
          <t>科幻/奇幻</t>
        </is>
      </c>
      <c r="J18" s="0" t="inlineStr">
        <is>
          <t>职场/商战</t>
        </is>
      </c>
      <c r="K18" s="0" t="inlineStr">
        <is>
          <t>写实都市</t>
        </is>
      </c>
      <c r="L18" s="0" t="n">
        <v>4</v>
      </c>
      <c r="M18" s="0" t="n">
        <v>7</v>
      </c>
      <c r="N18" s="0" t="inlineStr">
        <is>
          <t>男性/下沉/45+</t>
        </is>
      </c>
      <c r="O18" s="0" t="inlineStr">
        <is>
          <t>节假日前后</t>
        </is>
      </c>
      <c r="P18" s="0" t="inlineStr">
        <is>
          <t>反转爽点</t>
        </is>
      </c>
      <c r="Q18" s="0" t="n">
        <v>3</v>
      </c>
      <c r="R18" s="0" t="n">
        <v>3</v>
      </c>
      <c r="S18" s="0" t="n">
        <v>1</v>
      </c>
      <c r="T18" s="0" t="n">
        <v>1</v>
      </c>
      <c r="U18" s="0" t="n">
        <v>1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4</v>
      </c>
      <c r="AA18" s="0" t="n">
        <v>2</v>
      </c>
      <c r="AB18" s="0" t="n">
        <v>2</v>
      </c>
      <c r="AC18" s="0">
        <f>Y18+Z18+AA18+AB18</f>
        <v/>
      </c>
      <c r="AD18" s="0" t="n">
        <v>3</v>
      </c>
      <c r="AE18" s="0" t="n">
        <v>4</v>
      </c>
      <c r="AF18" s="0" t="n">
        <v>2</v>
      </c>
      <c r="AG18" s="0" t="n">
        <v>1</v>
      </c>
      <c r="AH18" s="0">
        <f>AD18+AE18+AF18+AG18</f>
        <v/>
      </c>
      <c r="AI18" s="0">
        <f>Q18+R18+S18+T18</f>
        <v/>
      </c>
      <c r="AJ18" s="0" t="n">
        <v>3</v>
      </c>
      <c r="AK18" s="0">
        <f>=U18</f>
        <v/>
      </c>
      <c r="AL18" s="0">
        <f>AJ18+U18+V18+W18+X18</f>
        <v/>
      </c>
      <c r="AM18" s="0" t="n">
        <v>1.53</v>
      </c>
      <c r="AN18" s="0" t="n">
        <v>3.44</v>
      </c>
      <c r="AO18" s="0" t="n">
        <v>25</v>
      </c>
      <c r="AP18" s="0" t="n">
        <v>0</v>
      </c>
      <c r="AQ18" s="0">
        <f>ROUND((MIN(AM18,10)/10*8)+(MIN(AN18,10)/10*6)+(MIN(AO18,10)/10*4)+(MIN(AP18,10)/10*2),2)</f>
        <v/>
      </c>
      <c r="AR18" s="0">
        <f>=IF(AQ18&gt;=67,"高",IF(AQ18&gt;=34,"中","低"))</f>
        <v/>
      </c>
      <c r="AS18" s="0">
        <f>=MIN(15,L18+M18)</f>
        <v/>
      </c>
      <c r="AT18" s="0" t="n">
        <v>4</v>
      </c>
      <c r="AU18" s="0" t="n">
        <v>2</v>
      </c>
      <c r="AV18" s="0" t="n">
        <v>2</v>
      </c>
      <c r="AW18" s="0">
        <f>=MIN(10,AT18+AU18+AV18)</f>
        <v/>
      </c>
      <c r="AX18" s="0" t="n">
        <v>2</v>
      </c>
      <c r="AY18" s="0" t="n">
        <v>0.6000000000000001</v>
      </c>
      <c r="AZ18" s="0" t="n">
        <v>0.7</v>
      </c>
      <c r="BA18" s="0" t="n">
        <v>0.5</v>
      </c>
      <c r="BB18" s="0">
        <f>ROUND((AX18/2*0.4+AY18/1.5*0.3+AZ18/1*0.2+BA18/0.5*0.1)*100,2)</f>
        <v/>
      </c>
      <c r="BC18" s="0">
        <f>ROUND(AC18+AH18+AI18+AL18+AQ18+AS18+AW18+(BB18/100*5),2)</f>
        <v/>
      </c>
      <c r="BD18" s="0">
        <f>IF(BC18&lt;=20,"极弱",IF(BC18&lt;=40,"偏弱",IF(BC18&lt;=60,"中等",IF(BC18&lt;=80,"较强","卓越"))))</f>
        <v/>
      </c>
      <c r="BH18" s="0" t="inlineStr">
        <is>
          <t>视频号/快手</t>
        </is>
      </c>
    </row>
    <row r="19">
      <c r="A19" s="0" t="n">
        <v>18</v>
      </c>
      <c r="B19" s="0" t="inlineStr">
        <is>
          <t>皇室签到，从废太子到神朝老祖</t>
        </is>
      </c>
      <c r="C19" s="0" t="inlineStr">
        <is>
          <t>/Users/mr.hu/Desktop/爆款排名/11.4日剧本/皇室签到，从废太子到神朝老祖.docx</t>
        </is>
      </c>
      <c r="E19" s="0" t="n">
        <v>25.71</v>
      </c>
      <c r="F19" s="0" t="n">
        <v>21</v>
      </c>
      <c r="G19" s="0">
        <f>IF(E19&lt;=8,"15–20集",IF(E19&lt;=20,"20–30集","30–40集"))</f>
        <v/>
      </c>
      <c r="H19" s="0" t="inlineStr">
        <is>
          <t>男频</t>
        </is>
      </c>
      <c r="I19" s="0" t="inlineStr">
        <is>
          <t>古代</t>
        </is>
      </c>
      <c r="J19" s="0" t="inlineStr">
        <is>
          <t>玄幻修仙</t>
        </is>
      </c>
      <c r="K19" s="0" t="inlineStr">
        <is>
          <t>武侠动作</t>
        </is>
      </c>
      <c r="L19" s="0" t="n">
        <v>5</v>
      </c>
      <c r="M19" s="0" t="n">
        <v>7</v>
      </c>
      <c r="N19" s="0" t="inlineStr">
        <is>
          <t>男性/一二线/18–35</t>
        </is>
      </c>
      <c r="O19" s="0" t="inlineStr">
        <is>
          <t>节假日前后</t>
        </is>
      </c>
      <c r="P19" s="0" t="inlineStr">
        <is>
          <t>反转爽点</t>
        </is>
      </c>
      <c r="Q19" s="0" t="n">
        <v>3</v>
      </c>
      <c r="R19" s="0" t="n">
        <v>3</v>
      </c>
      <c r="S19" s="0" t="n">
        <v>1</v>
      </c>
      <c r="T19" s="0" t="n">
        <v>0</v>
      </c>
      <c r="U19" s="0" t="n">
        <v>1</v>
      </c>
      <c r="V19" s="0" t="n">
        <v>2</v>
      </c>
      <c r="W19" s="0" t="n">
        <v>0</v>
      </c>
      <c r="X19" s="0" t="n">
        <v>1</v>
      </c>
      <c r="Y19" s="0" t="n">
        <v>1</v>
      </c>
      <c r="Z19" s="0" t="n">
        <v>4</v>
      </c>
      <c r="AA19" s="0" t="n">
        <v>0</v>
      </c>
      <c r="AB19" s="0" t="n">
        <v>2</v>
      </c>
      <c r="AC19" s="0">
        <f>Y19+Z19+AA19+AB19</f>
        <v/>
      </c>
      <c r="AD19" s="0" t="n">
        <v>2</v>
      </c>
      <c r="AE19" s="0" t="n">
        <v>3</v>
      </c>
      <c r="AF19" s="0" t="n">
        <v>1</v>
      </c>
      <c r="AG19" s="0" t="n">
        <v>1</v>
      </c>
      <c r="AH19" s="0">
        <f>AD19+AE19+AF19+AG19</f>
        <v/>
      </c>
      <c r="AI19" s="0">
        <f>Q19+R19+S19+T19</f>
        <v/>
      </c>
      <c r="AJ19" s="0" t="n">
        <v>3</v>
      </c>
      <c r="AK19" s="0">
        <f>=U19</f>
        <v/>
      </c>
      <c r="AL19" s="0">
        <f>AJ19+U19+V19+W19+X19</f>
        <v/>
      </c>
      <c r="AM19" s="0" t="n">
        <v>1.56</v>
      </c>
      <c r="AN19" s="0" t="n">
        <v>1.17</v>
      </c>
      <c r="AO19" s="0" t="n">
        <v>0</v>
      </c>
      <c r="AP19" s="0" t="n">
        <v>0</v>
      </c>
      <c r="AQ19" s="0">
        <f>ROUND((MIN(AM19,10)/10*8)+(MIN(AN19,10)/10*6)+(MIN(AO19,10)/10*4)+(MIN(AP19,10)/10*2),2)</f>
        <v/>
      </c>
      <c r="AR19" s="0">
        <f>=IF(AQ19&gt;=67,"高",IF(AQ19&gt;=34,"中","低"))</f>
        <v/>
      </c>
      <c r="AS19" s="0">
        <f>=MIN(15,L19+M19)</f>
        <v/>
      </c>
      <c r="AT19" s="0" t="n">
        <v>3</v>
      </c>
      <c r="AU19" s="0" t="n">
        <v>2</v>
      </c>
      <c r="AV19" s="0" t="n">
        <v>2</v>
      </c>
      <c r="AW19" s="0">
        <f>=MIN(10,AT19+AU19+AV19)</f>
        <v/>
      </c>
      <c r="AX19" s="0" t="n">
        <v>2</v>
      </c>
      <c r="AY19" s="0" t="n">
        <v>0.55</v>
      </c>
      <c r="AZ19" s="0" t="n">
        <v>0.775</v>
      </c>
      <c r="BA19" s="0" t="n">
        <v>0.5</v>
      </c>
      <c r="BB19" s="0">
        <f>ROUND((AX19/2*0.4+AY19/1.5*0.3+AZ19/1*0.2+BA19/0.5*0.1)*100,2)</f>
        <v/>
      </c>
      <c r="BC19" s="0">
        <f>ROUND(AC19+AH19+AI19+AL19+AQ19+AS19+AW19+(BB19/100*5),2)</f>
        <v/>
      </c>
      <c r="BD19" s="0">
        <f>IF(BC19&lt;=20,"极弱",IF(BC19&lt;=40,"偏弱",IF(BC19&lt;=60,"中等",IF(BC19&lt;=80,"较强","卓越"))))</f>
        <v/>
      </c>
      <c r="BH19" s="0" t="inlineStr">
        <is>
          <t>抖音/快手</t>
        </is>
      </c>
    </row>
    <row r="20">
      <c r="A20" s="0" t="n">
        <v>19</v>
      </c>
      <c r="B20" s="0" t="inlineStr">
        <is>
          <t>神医下山：师姐，请自重</t>
        </is>
      </c>
      <c r="C20" s="0" t="inlineStr">
        <is>
          <t>/Users/mr.hu/Desktop/爆款排名/11.4日剧本/神医下山：师姐，请自重.docx</t>
        </is>
      </c>
      <c r="E20" s="0" t="n">
        <v>25.22</v>
      </c>
      <c r="F20" s="0" t="n">
        <v>21</v>
      </c>
      <c r="G20" s="0">
        <f>IF(E20&lt;=8,"15–20集",IF(E20&lt;=20,"20–30集","30–40集"))</f>
        <v/>
      </c>
      <c r="H20" s="0" t="inlineStr">
        <is>
          <t>女频</t>
        </is>
      </c>
      <c r="I20" s="0" t="inlineStr">
        <is>
          <t>科幻/奇幻</t>
        </is>
      </c>
      <c r="J20" s="0" t="inlineStr">
        <is>
          <t>职场/商战</t>
        </is>
      </c>
      <c r="K20" s="0" t="inlineStr">
        <is>
          <t>写实都市</t>
        </is>
      </c>
      <c r="L20" s="0" t="n">
        <v>4</v>
      </c>
      <c r="M20" s="0" t="n">
        <v>7</v>
      </c>
      <c r="N20" s="0" t="inlineStr">
        <is>
          <t>女性/下沉/18–35</t>
        </is>
      </c>
      <c r="O20" s="0" t="inlineStr">
        <is>
          <t>周末黄金</t>
        </is>
      </c>
      <c r="P20" s="0" t="inlineStr">
        <is>
          <t>反转爽点</t>
        </is>
      </c>
      <c r="Q20" s="0" t="n">
        <v>3</v>
      </c>
      <c r="R20" s="0" t="n">
        <v>3</v>
      </c>
      <c r="S20" s="0" t="n">
        <v>3</v>
      </c>
      <c r="T20" s="0" t="n">
        <v>1</v>
      </c>
      <c r="U20" s="0" t="n">
        <v>1</v>
      </c>
      <c r="V20" s="0" t="n">
        <v>2</v>
      </c>
      <c r="W20" s="0" t="n">
        <v>1</v>
      </c>
      <c r="X20" s="0" t="n">
        <v>1</v>
      </c>
      <c r="Y20" s="0" t="n">
        <v>2</v>
      </c>
      <c r="Z20" s="0" t="n">
        <v>4</v>
      </c>
      <c r="AA20" s="0" t="n">
        <v>2</v>
      </c>
      <c r="AB20" s="0" t="n">
        <v>2</v>
      </c>
      <c r="AC20" s="0">
        <f>Y20+Z20+AA20+AB20</f>
        <v/>
      </c>
      <c r="AD20" s="0" t="n">
        <v>5</v>
      </c>
      <c r="AE20" s="0" t="n">
        <v>4</v>
      </c>
      <c r="AF20" s="0" t="n">
        <v>2</v>
      </c>
      <c r="AG20" s="0" t="n">
        <v>1</v>
      </c>
      <c r="AH20" s="0">
        <f>AD20+AE20+AF20+AG20</f>
        <v/>
      </c>
      <c r="AI20" s="0">
        <f>Q20+R20+S20+T20</f>
        <v/>
      </c>
      <c r="AJ20" s="0" t="n">
        <v>3</v>
      </c>
      <c r="AK20" s="0">
        <f>=U20</f>
        <v/>
      </c>
      <c r="AL20" s="0">
        <f>AJ20+U20+V20+W20+X20</f>
        <v/>
      </c>
      <c r="AM20" s="0" t="n">
        <v>2.38</v>
      </c>
      <c r="AN20" s="0" t="n">
        <v>2.38</v>
      </c>
      <c r="AO20" s="0" t="n">
        <v>25</v>
      </c>
      <c r="AP20" s="0" t="n">
        <v>36</v>
      </c>
      <c r="AQ20" s="0">
        <f>ROUND((MIN(AM20,10)/10*8)+(MIN(AN20,10)/10*6)+(MIN(AO20,10)/10*4)+(MIN(AP20,10)/10*2),2)</f>
        <v/>
      </c>
      <c r="AR20" s="0">
        <f>=IF(AQ20&gt;=67,"高",IF(AQ20&gt;=34,"中","低"))</f>
        <v/>
      </c>
      <c r="AS20" s="0">
        <f>=MIN(15,L20+M20)</f>
        <v/>
      </c>
      <c r="AT20" s="0" t="n">
        <v>2</v>
      </c>
      <c r="AU20" s="0" t="n">
        <v>2</v>
      </c>
      <c r="AV20" s="0" t="n">
        <v>2</v>
      </c>
      <c r="AW20" s="0">
        <f>=MIN(10,AT20+AU20+AV20)</f>
        <v/>
      </c>
      <c r="AX20" s="0" t="n">
        <v>1</v>
      </c>
      <c r="AY20" s="0" t="n">
        <v>0.9</v>
      </c>
      <c r="AZ20" s="0" t="n">
        <v>0.7</v>
      </c>
      <c r="BA20" s="0" t="n">
        <v>0.5</v>
      </c>
      <c r="BB20" s="0">
        <f>ROUND((AX20/2*0.4+AY20/1.5*0.3+AZ20/1*0.2+BA20/0.5*0.1)*100,2)</f>
        <v/>
      </c>
      <c r="BC20" s="0">
        <f>ROUND(AC20+AH20+AI20+AL20+AQ20+AS20+AW20+(BB20/100*5),2)</f>
        <v/>
      </c>
      <c r="BD20" s="0">
        <f>IF(BC20&lt;=20,"极弱",IF(BC20&lt;=40,"偏弱",IF(BC20&lt;=60,"中等",IF(BC20&lt;=80,"较强","卓越"))))</f>
        <v/>
      </c>
      <c r="BH20" s="0" t="inlineStr">
        <is>
          <t>视频号/快手</t>
        </is>
      </c>
    </row>
    <row r="21">
      <c r="A21" s="0" t="n">
        <v>20</v>
      </c>
      <c r="B21" s="0" t="inlineStr">
        <is>
          <t>神豪，大风刮来的全能系统！！</t>
        </is>
      </c>
      <c r="C21" s="0" t="inlineStr">
        <is>
          <t>/Users/mr.hu/Desktop/爆款排名/11.4日剧本/神豪，大风刮来的全能系统！！.docx</t>
        </is>
      </c>
      <c r="E21" s="0" t="n">
        <v>22.65</v>
      </c>
      <c r="F21" s="0" t="n">
        <v>18</v>
      </c>
      <c r="G21" s="0">
        <f>IF(E21&lt;=8,"15–20集",IF(E21&lt;=20,"20–30集","30–40集"))</f>
        <v/>
      </c>
      <c r="H21" s="0" t="inlineStr">
        <is>
          <t>男频</t>
        </is>
      </c>
      <c r="I21" s="0" t="inlineStr">
        <is>
          <t>科幻/奇幻</t>
        </is>
      </c>
      <c r="J21" s="0" t="inlineStr">
        <is>
          <t>职场/商战</t>
        </is>
      </c>
      <c r="K21" s="0" t="inlineStr">
        <is>
          <t>写实都市</t>
        </is>
      </c>
      <c r="L21" s="0" t="n">
        <v>5</v>
      </c>
      <c r="M21" s="0" t="n">
        <v>6</v>
      </c>
      <c r="N21" s="0" t="inlineStr">
        <is>
          <t>男性/一二线/45+</t>
        </is>
      </c>
      <c r="O21" s="0" t="inlineStr">
        <is>
          <t>周末黄金</t>
        </is>
      </c>
      <c r="P21" s="0" t="inlineStr">
        <is>
          <t>反转爽点</t>
        </is>
      </c>
      <c r="Q21" s="0" t="n">
        <v>3</v>
      </c>
      <c r="R21" s="0" t="n">
        <v>3</v>
      </c>
      <c r="S21" s="0" t="n">
        <v>3</v>
      </c>
      <c r="T21" s="0" t="n">
        <v>1</v>
      </c>
      <c r="U21" s="0" t="n">
        <v>3</v>
      </c>
      <c r="V21" s="0" t="n">
        <v>2</v>
      </c>
      <c r="W21" s="0" t="n">
        <v>1</v>
      </c>
      <c r="X21" s="0" t="n">
        <v>1</v>
      </c>
      <c r="Y21" s="0" t="n">
        <v>2</v>
      </c>
      <c r="Z21" s="0" t="n">
        <v>4</v>
      </c>
      <c r="AA21" s="0" t="n">
        <v>0</v>
      </c>
      <c r="AB21" s="0" t="n">
        <v>2</v>
      </c>
      <c r="AC21" s="0">
        <f>Y21+Z21+AA21+AB21</f>
        <v/>
      </c>
      <c r="AD21" s="0" t="n">
        <v>5</v>
      </c>
      <c r="AE21" s="0" t="n">
        <v>4</v>
      </c>
      <c r="AF21" s="0" t="n">
        <v>2</v>
      </c>
      <c r="AG21" s="0" t="n">
        <v>1</v>
      </c>
      <c r="AH21" s="0">
        <f>AD21+AE21+AF21+AG21</f>
        <v/>
      </c>
      <c r="AI21" s="0">
        <f>Q21+R21+S21+T21</f>
        <v/>
      </c>
      <c r="AJ21" s="0" t="n">
        <v>3</v>
      </c>
      <c r="AK21" s="0">
        <f>=U21</f>
        <v/>
      </c>
      <c r="AL21" s="0">
        <f>AJ21+U21+V21+W21+X21</f>
        <v/>
      </c>
      <c r="AM21" s="0" t="n">
        <v>0</v>
      </c>
      <c r="AN21" s="0" t="n">
        <v>5.3</v>
      </c>
      <c r="AO21" s="0" t="n">
        <v>25</v>
      </c>
      <c r="AP21" s="0" t="n">
        <v>24</v>
      </c>
      <c r="AQ21" s="0">
        <f>ROUND((MIN(AM21,10)/10*8)+(MIN(AN21,10)/10*6)+(MIN(AO21,10)/10*4)+(MIN(AP21,10)/10*2),2)</f>
        <v/>
      </c>
      <c r="AR21" s="0">
        <f>=IF(AQ21&gt;=67,"高",IF(AQ21&gt;=34,"中","低"))</f>
        <v/>
      </c>
      <c r="AS21" s="0">
        <f>=MIN(15,L21+M21)</f>
        <v/>
      </c>
      <c r="AT21" s="0" t="n">
        <v>3</v>
      </c>
      <c r="AU21" s="0" t="n">
        <v>2</v>
      </c>
      <c r="AV21" s="0" t="n">
        <v>2</v>
      </c>
      <c r="AW21" s="0">
        <f>=MIN(10,AT21+AU21+AV21)</f>
        <v/>
      </c>
      <c r="AX21" s="0" t="n">
        <v>2</v>
      </c>
      <c r="AY21" s="0" t="n">
        <v>0.5</v>
      </c>
      <c r="AZ21" s="0" t="n">
        <v>0.7178571428571429</v>
      </c>
      <c r="BA21" s="0" t="n">
        <v>0.5</v>
      </c>
      <c r="BB21" s="0">
        <f>ROUND((AX21/2*0.4+AY21/1.5*0.3+AZ21/1*0.2+BA21/0.5*0.1)*100,2)</f>
        <v/>
      </c>
      <c r="BC21" s="0">
        <f>ROUND(AC21+AH21+AI21+AL21+AQ21+AS21+AW21+(BB21/100*5),2)</f>
        <v/>
      </c>
      <c r="BD21" s="0">
        <f>IF(BC21&lt;=20,"极弱",IF(BC21&lt;=40,"偏弱",IF(BC21&lt;=60,"中等",IF(BC21&lt;=80,"较强","卓越"))))</f>
        <v/>
      </c>
      <c r="BH21" s="0" t="inlineStr">
        <is>
          <t>抖音/快手</t>
        </is>
      </c>
    </row>
    <row r="22">
      <c r="A22" s="0" t="n">
        <v>21</v>
      </c>
      <c r="B22" s="0" t="inlineStr">
        <is>
          <t>神豪，开局与富婆自律百倍返现</t>
        </is>
      </c>
      <c r="C22" s="0" t="inlineStr">
        <is>
          <t>/Users/mr.hu/Desktop/爆款排名/11.4日剧本/神豪，开局与富婆自律百倍返现.docx</t>
        </is>
      </c>
      <c r="E22" s="0" t="n">
        <v>17.68</v>
      </c>
      <c r="F22" s="0" t="n">
        <v>14</v>
      </c>
      <c r="G22" s="0">
        <f>IF(E22&lt;=8,"15–20集",IF(E22&lt;=20,"20–30集","30–40集"))</f>
        <v/>
      </c>
      <c r="H22" s="0" t="inlineStr">
        <is>
          <t>男频</t>
        </is>
      </c>
      <c r="I22" s="0" t="inlineStr">
        <is>
          <t>科幻/奇幻</t>
        </is>
      </c>
      <c r="J22" s="0" t="inlineStr">
        <is>
          <t>职场/商战</t>
        </is>
      </c>
      <c r="K22" s="0" t="inlineStr">
        <is>
          <t>写实都市</t>
        </is>
      </c>
      <c r="L22" s="0" t="n">
        <v>4</v>
      </c>
      <c r="M22" s="0" t="n">
        <v>7</v>
      </c>
      <c r="N22" s="0" t="inlineStr">
        <is>
          <t>男性/一二线/45+</t>
        </is>
      </c>
      <c r="O22" s="0" t="inlineStr">
        <is>
          <t>周末黄金</t>
        </is>
      </c>
      <c r="P22" s="0" t="inlineStr">
        <is>
          <t>反转爽点</t>
        </is>
      </c>
      <c r="Q22" s="0" t="n">
        <v>1</v>
      </c>
      <c r="R22" s="0" t="n">
        <v>3</v>
      </c>
      <c r="S22" s="0" t="n">
        <v>3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1</v>
      </c>
      <c r="Z22" s="0" t="n">
        <v>4</v>
      </c>
      <c r="AA22" s="0" t="n">
        <v>2</v>
      </c>
      <c r="AB22" s="0" t="n">
        <v>2</v>
      </c>
      <c r="AC22" s="0">
        <f>Y22+Z22+AA22+AB22</f>
        <v/>
      </c>
      <c r="AD22" s="0" t="n">
        <v>4</v>
      </c>
      <c r="AE22" s="0" t="n">
        <v>2</v>
      </c>
      <c r="AF22" s="0" t="n">
        <v>2</v>
      </c>
      <c r="AG22" s="0" t="n">
        <v>1</v>
      </c>
      <c r="AH22" s="0">
        <f>AD22+AE22+AF22+AG22</f>
        <v/>
      </c>
      <c r="AI22" s="0">
        <f>Q22+R22+S22+T22</f>
        <v/>
      </c>
      <c r="AJ22" s="0" t="n">
        <v>2</v>
      </c>
      <c r="AK22" s="0">
        <f>=U22</f>
        <v/>
      </c>
      <c r="AL22" s="0">
        <f>AJ22+U22+V22+W22+X22</f>
        <v/>
      </c>
      <c r="AM22" s="0" t="n">
        <v>1.13</v>
      </c>
      <c r="AN22" s="0" t="n">
        <v>0</v>
      </c>
      <c r="AO22" s="0" t="n">
        <v>0</v>
      </c>
      <c r="AP22" s="0" t="n">
        <v>0</v>
      </c>
      <c r="AQ22" s="0">
        <f>ROUND((MIN(AM22,10)/10*8)+(MIN(AN22,10)/10*6)+(MIN(AO22,10)/10*4)+(MIN(AP22,10)/10*2),2)</f>
        <v/>
      </c>
      <c r="AR22" s="0">
        <f>=IF(AQ22&gt;=67,"高",IF(AQ22&gt;=34,"中","低"))</f>
        <v/>
      </c>
      <c r="AS22" s="0">
        <f>=MIN(15,L22+M22)</f>
        <v/>
      </c>
      <c r="AT22" s="0" t="n">
        <v>4</v>
      </c>
      <c r="AU22" s="0" t="n">
        <v>2</v>
      </c>
      <c r="AV22" s="0" t="n">
        <v>2</v>
      </c>
      <c r="AW22" s="0">
        <f>=MIN(10,AT22+AU22+AV22)</f>
        <v/>
      </c>
      <c r="AX22" s="0" t="n">
        <v>2</v>
      </c>
      <c r="AY22" s="0" t="n">
        <v>0.6000000000000001</v>
      </c>
      <c r="AZ22" s="0" t="n">
        <v>0.7</v>
      </c>
      <c r="BA22" s="0" t="n">
        <v>0.5</v>
      </c>
      <c r="BB22" s="0">
        <f>ROUND((AX22/2*0.4+AY22/1.5*0.3+AZ22/1*0.2+BA22/0.5*0.1)*100,2)</f>
        <v/>
      </c>
      <c r="BC22" s="0">
        <f>ROUND(AC22+AH22+AI22+AL22+AQ22+AS22+AW22+(BB22/100*5),2)</f>
        <v/>
      </c>
      <c r="BD22" s="0">
        <f>IF(BC22&lt;=20,"极弱",IF(BC22&lt;=40,"偏弱",IF(BC22&lt;=60,"中等",IF(BC22&lt;=80,"较强","卓越"))))</f>
        <v/>
      </c>
      <c r="BH22" s="0" t="inlineStr">
        <is>
          <t>抖音/快手</t>
        </is>
      </c>
    </row>
    <row r="23">
      <c r="A23" s="0" t="n">
        <v>22</v>
      </c>
      <c r="B23" s="0" t="inlineStr">
        <is>
          <t>神豪：从我能看到女神愿望开始</t>
        </is>
      </c>
      <c r="C23" s="0" t="inlineStr">
        <is>
          <t>/Users/mr.hu/Desktop/爆款排名/11.4日剧本/神豪：从我能看到女神愿望开始.docx</t>
        </is>
      </c>
      <c r="E23" s="0" t="n">
        <v>20.35</v>
      </c>
      <c r="F23" s="0" t="n">
        <v>16</v>
      </c>
      <c r="G23" s="0">
        <f>IF(E23&lt;=8,"15–20集",IF(E23&lt;=20,"20–30集","30–40集"))</f>
        <v/>
      </c>
      <c r="H23" s="0" t="inlineStr">
        <is>
          <t>男频</t>
        </is>
      </c>
      <c r="I23" s="0" t="inlineStr">
        <is>
          <t>科幻/奇幻</t>
        </is>
      </c>
      <c r="J23" s="0" t="inlineStr">
        <is>
          <t>职场/商战</t>
        </is>
      </c>
      <c r="K23" s="0" t="inlineStr">
        <is>
          <t>写实都市</t>
        </is>
      </c>
      <c r="L23" s="0" t="n">
        <v>6</v>
      </c>
      <c r="M23" s="0" t="n">
        <v>7</v>
      </c>
      <c r="N23" s="0" t="inlineStr">
        <is>
          <t>男性/一二线/45+</t>
        </is>
      </c>
      <c r="O23" s="0" t="inlineStr">
        <is>
          <t>周末黄金</t>
        </is>
      </c>
      <c r="P23" s="0" t="inlineStr">
        <is>
          <t>知识信息量</t>
        </is>
      </c>
      <c r="Q23" s="0" t="n">
        <v>3</v>
      </c>
      <c r="R23" s="0" t="n">
        <v>3</v>
      </c>
      <c r="S23" s="0" t="n">
        <v>1</v>
      </c>
      <c r="T23" s="0" t="n">
        <v>1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4</v>
      </c>
      <c r="AA23" s="0" t="n">
        <v>2</v>
      </c>
      <c r="AB23" s="0" t="n">
        <v>1</v>
      </c>
      <c r="AC23" s="0">
        <f>Y23+Z23+AA23+AB23</f>
        <v/>
      </c>
      <c r="AD23" s="0" t="n">
        <v>4</v>
      </c>
      <c r="AE23" s="0" t="n">
        <v>4</v>
      </c>
      <c r="AF23" s="0" t="n">
        <v>3</v>
      </c>
      <c r="AG23" s="0" t="n">
        <v>0</v>
      </c>
      <c r="AH23" s="0">
        <f>AD23+AE23+AF23+AG23</f>
        <v/>
      </c>
      <c r="AI23" s="0">
        <f>Q23+R23+S23+T23</f>
        <v/>
      </c>
      <c r="AJ23" s="0" t="n">
        <v>3</v>
      </c>
      <c r="AK23" s="0">
        <f>=U23</f>
        <v/>
      </c>
      <c r="AL23" s="0">
        <f>AJ23+U23+V23+W23+X23</f>
        <v/>
      </c>
      <c r="AM23" s="0" t="n">
        <v>3.93</v>
      </c>
      <c r="AN23" s="0" t="n">
        <v>2.95</v>
      </c>
      <c r="AO23" s="0" t="n">
        <v>0</v>
      </c>
      <c r="AP23" s="0" t="n">
        <v>0</v>
      </c>
      <c r="AQ23" s="0">
        <f>ROUND((MIN(AM23,10)/10*8)+(MIN(AN23,10)/10*6)+(MIN(AO23,10)/10*4)+(MIN(AP23,10)/10*2),2)</f>
        <v/>
      </c>
      <c r="AR23" s="0">
        <f>=IF(AQ23&gt;=67,"高",IF(AQ23&gt;=34,"中","低"))</f>
        <v/>
      </c>
      <c r="AS23" s="0">
        <f>=MIN(15,L23+M23)</f>
        <v/>
      </c>
      <c r="AT23" s="0" t="n">
        <v>3</v>
      </c>
      <c r="AU23" s="0" t="n">
        <v>2</v>
      </c>
      <c r="AV23" s="0" t="n">
        <v>2</v>
      </c>
      <c r="AW23" s="0">
        <f>=MIN(10,AT23+AU23+AV23)</f>
        <v/>
      </c>
      <c r="AX23" s="0" t="n">
        <v>2</v>
      </c>
      <c r="AY23" s="0" t="n">
        <v>0.85</v>
      </c>
      <c r="AZ23" s="0" t="n">
        <v>0.85</v>
      </c>
      <c r="BA23" s="0" t="n">
        <v>0.5</v>
      </c>
      <c r="BB23" s="0">
        <f>ROUND((AX23/2*0.4+AY23/1.5*0.3+AZ23/1*0.2+BA23/0.5*0.1)*100,2)</f>
        <v/>
      </c>
      <c r="BC23" s="0">
        <f>ROUND(AC23+AH23+AI23+AL23+AQ23+AS23+AW23+(BB23/100*5),2)</f>
        <v/>
      </c>
      <c r="BD23" s="0">
        <f>IF(BC23&lt;=20,"极弱",IF(BC23&lt;=40,"偏弱",IF(BC23&lt;=60,"中等",IF(BC23&lt;=80,"较强","卓越"))))</f>
        <v/>
      </c>
      <c r="BH23" s="0" t="inlineStr">
        <is>
          <t>抖音/快手</t>
        </is>
      </c>
    </row>
    <row r="24">
      <c r="A24" s="0" t="n">
        <v>23</v>
      </c>
      <c r="B24" s="0" t="inlineStr">
        <is>
          <t>穿书反派，我让龙王妹妹住狗窝</t>
        </is>
      </c>
      <c r="C24" s="0" t="inlineStr">
        <is>
          <t>/Users/mr.hu/Desktop/爆款排名/11.4日剧本/穿书反派，我让龙王妹妹住狗窝.docx</t>
        </is>
      </c>
      <c r="E24" s="0" t="n">
        <v>29.82</v>
      </c>
      <c r="F24" s="0" t="n">
        <v>24</v>
      </c>
      <c r="G24" s="0">
        <f>IF(E24&lt;=8,"15–20集",IF(E24&lt;=20,"20–30集","30–40集"))</f>
        <v/>
      </c>
      <c r="H24" s="0" t="inlineStr">
        <is>
          <t>男频</t>
        </is>
      </c>
      <c r="I24" s="0" t="inlineStr">
        <is>
          <t>科幻/奇幻</t>
        </is>
      </c>
      <c r="J24" s="0" t="inlineStr">
        <is>
          <t>职场/商战</t>
        </is>
      </c>
      <c r="K24" s="0" t="inlineStr">
        <is>
          <t>写实都市</t>
        </is>
      </c>
      <c r="L24" s="0" t="n">
        <v>8</v>
      </c>
      <c r="M24" s="0" t="n">
        <v>4</v>
      </c>
      <c r="N24" s="0" t="inlineStr">
        <is>
          <t>男性/一二线/18–35</t>
        </is>
      </c>
      <c r="O24" s="0" t="inlineStr">
        <is>
          <t>周末黄金</t>
        </is>
      </c>
      <c r="P24" s="0" t="inlineStr">
        <is>
          <t>成长救赎</t>
        </is>
      </c>
      <c r="Q24" s="0" t="n">
        <v>3</v>
      </c>
      <c r="R24" s="0" t="n">
        <v>3</v>
      </c>
      <c r="S24" s="0" t="n">
        <v>3</v>
      </c>
      <c r="T24" s="0" t="n">
        <v>1</v>
      </c>
      <c r="U24" s="0" t="n">
        <v>1</v>
      </c>
      <c r="V24" s="0" t="n">
        <v>2</v>
      </c>
      <c r="W24" s="0" t="n">
        <v>1</v>
      </c>
      <c r="X24" s="0" t="n">
        <v>1</v>
      </c>
      <c r="Y24" s="0" t="n">
        <v>1</v>
      </c>
      <c r="Z24" s="0" t="n">
        <v>4</v>
      </c>
      <c r="AA24" s="0" t="n">
        <v>2</v>
      </c>
      <c r="AB24" s="0" t="n">
        <v>2</v>
      </c>
      <c r="AC24" s="0">
        <f>Y24+Z24+AA24+AB24</f>
        <v/>
      </c>
      <c r="AD24" s="0" t="n">
        <v>5</v>
      </c>
      <c r="AE24" s="0" t="n">
        <v>5</v>
      </c>
      <c r="AF24" s="0" t="n">
        <v>2</v>
      </c>
      <c r="AG24" s="0" t="n">
        <v>1</v>
      </c>
      <c r="AH24" s="0">
        <f>AD24+AE24+AF24+AG24</f>
        <v/>
      </c>
      <c r="AI24" s="0">
        <f>Q24+R24+S24+T24</f>
        <v/>
      </c>
      <c r="AJ24" s="0" t="n">
        <v>3</v>
      </c>
      <c r="AK24" s="0">
        <f>=U24</f>
        <v/>
      </c>
      <c r="AL24" s="0">
        <f>AJ24+U24+V24+W24+X24</f>
        <v/>
      </c>
      <c r="AM24" s="0" t="n">
        <v>4.02</v>
      </c>
      <c r="AN24" s="0" t="n">
        <v>7.04</v>
      </c>
      <c r="AO24" s="0" t="n">
        <v>25</v>
      </c>
      <c r="AP24" s="0" t="n">
        <v>100</v>
      </c>
      <c r="AQ24" s="0">
        <f>ROUND((MIN(AM24,10)/10*8)+(MIN(AN24,10)/10*6)+(MIN(AO24,10)/10*4)+(MIN(AP24,10)/10*2),2)</f>
        <v/>
      </c>
      <c r="AR24" s="0">
        <f>=IF(AQ24&gt;=67,"高",IF(AQ24&gt;=34,"中","低"))</f>
        <v/>
      </c>
      <c r="AS24" s="0">
        <f>=MIN(15,L24+M24)</f>
        <v/>
      </c>
      <c r="AT24" s="0" t="n">
        <v>3</v>
      </c>
      <c r="AU24" s="0" t="n">
        <v>2</v>
      </c>
      <c r="AV24" s="0" t="n">
        <v>3</v>
      </c>
      <c r="AW24" s="0">
        <f>=MIN(10,AT24+AU24+AV24)</f>
        <v/>
      </c>
      <c r="AX24" s="0" t="n">
        <v>2</v>
      </c>
      <c r="AY24" s="0" t="n">
        <v>0.8</v>
      </c>
      <c r="AZ24" s="0" t="n">
        <v>0.8285714285714285</v>
      </c>
      <c r="BA24" s="0" t="n">
        <v>0.5</v>
      </c>
      <c r="BB24" s="0">
        <f>ROUND((AX24/2*0.4+AY24/1.5*0.3+AZ24/1*0.2+BA24/0.5*0.1)*100,2)</f>
        <v/>
      </c>
      <c r="BC24" s="0">
        <f>ROUND(AC24+AH24+AI24+AL24+AQ24+AS24+AW24+(BB24/100*5),2)</f>
        <v/>
      </c>
      <c r="BD24" s="0">
        <f>IF(BC24&lt;=20,"极弱",IF(BC24&lt;=40,"偏弱",IF(BC24&lt;=60,"中等",IF(BC24&lt;=80,"较强","卓越"))))</f>
        <v/>
      </c>
      <c r="BH24" s="0" t="inlineStr">
        <is>
          <t>抖音/快手</t>
        </is>
      </c>
    </row>
    <row r="25">
      <c r="A25" s="0" t="n">
        <v>24</v>
      </c>
      <c r="B25" s="0" t="inlineStr">
        <is>
          <t>穿进后悔流？开局百抽，抽爽了</t>
        </is>
      </c>
      <c r="C25" s="0" t="inlineStr">
        <is>
          <t>/Users/mr.hu/Desktop/爆款排名/11.4日剧本/穿进后悔流？开局百抽，抽爽了.docx</t>
        </is>
      </c>
      <c r="E25" s="0" t="n">
        <v>21.3</v>
      </c>
      <c r="F25" s="0" t="n">
        <v>17</v>
      </c>
      <c r="G25" s="0">
        <f>IF(E25&lt;=8,"15–20集",IF(E25&lt;=20,"20–30集","30–40集"))</f>
        <v/>
      </c>
      <c r="H25" s="0" t="inlineStr">
        <is>
          <t>男频</t>
        </is>
      </c>
      <c r="I25" s="0" t="inlineStr">
        <is>
          <t>古代</t>
        </is>
      </c>
      <c r="J25" s="0" t="inlineStr">
        <is>
          <t>职场/商战</t>
        </is>
      </c>
      <c r="K25" s="0" t="inlineStr">
        <is>
          <t>武侠动作</t>
        </is>
      </c>
      <c r="L25" s="0" t="n">
        <v>6</v>
      </c>
      <c r="M25" s="0" t="n">
        <v>7</v>
      </c>
      <c r="N25" s="0" t="inlineStr">
        <is>
          <t>男性/一二线/18–35</t>
        </is>
      </c>
      <c r="O25" s="0" t="inlineStr">
        <is>
          <t>周末黄金</t>
        </is>
      </c>
      <c r="P25" s="0" t="inlineStr">
        <is>
          <t>反转爽点</t>
        </is>
      </c>
      <c r="Q25" s="0" t="n">
        <v>3</v>
      </c>
      <c r="R25" s="0" t="n">
        <v>2</v>
      </c>
      <c r="S25" s="0" t="n">
        <v>1</v>
      </c>
      <c r="T25" s="0" t="n">
        <v>1</v>
      </c>
      <c r="U25" s="0" t="n">
        <v>1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4</v>
      </c>
      <c r="AA25" s="0" t="n">
        <v>3</v>
      </c>
      <c r="AB25" s="0" t="n">
        <v>2</v>
      </c>
      <c r="AC25" s="0">
        <f>Y25+Z25+AA25+AB25</f>
        <v/>
      </c>
      <c r="AD25" s="0" t="n">
        <v>4</v>
      </c>
      <c r="AE25" s="0" t="n">
        <v>5</v>
      </c>
      <c r="AF25" s="0" t="n">
        <v>2</v>
      </c>
      <c r="AG25" s="0" t="n">
        <v>1</v>
      </c>
      <c r="AH25" s="0">
        <f>AD25+AE25+AF25+AG25</f>
        <v/>
      </c>
      <c r="AI25" s="0">
        <f>Q25+R25+S25+T25</f>
        <v/>
      </c>
      <c r="AJ25" s="0" t="n">
        <v>3</v>
      </c>
      <c r="AK25" s="0">
        <f>=U25</f>
        <v/>
      </c>
      <c r="AL25" s="0">
        <f>AJ25+U25+V25+W25+X25</f>
        <v/>
      </c>
      <c r="AM25" s="0" t="n">
        <v>6.57</v>
      </c>
      <c r="AN25" s="0" t="n">
        <v>5.63</v>
      </c>
      <c r="AO25" s="0" t="n">
        <v>25</v>
      </c>
      <c r="AP25" s="0" t="n">
        <v>24</v>
      </c>
      <c r="AQ25" s="0">
        <f>ROUND((MIN(AM25,10)/10*8)+(MIN(AN25,10)/10*6)+(MIN(AO25,10)/10*4)+(MIN(AP25,10)/10*2),2)</f>
        <v/>
      </c>
      <c r="AR25" s="0">
        <f>=IF(AQ25&gt;=67,"高",IF(AQ25&gt;=34,"中","低"))</f>
        <v/>
      </c>
      <c r="AS25" s="0">
        <f>=MIN(15,L25+M25)</f>
        <v/>
      </c>
      <c r="AT25" s="0" t="n">
        <v>3</v>
      </c>
      <c r="AU25" s="0" t="n">
        <v>2</v>
      </c>
      <c r="AV25" s="0" t="n">
        <v>2</v>
      </c>
      <c r="AW25" s="0">
        <f>=MIN(10,AT25+AU25+AV25)</f>
        <v/>
      </c>
      <c r="AX25" s="0" t="n">
        <v>2</v>
      </c>
      <c r="AY25" s="0" t="n">
        <v>1.2</v>
      </c>
      <c r="AZ25" s="0" t="n">
        <v>0.85</v>
      </c>
      <c r="BA25" s="0" t="n">
        <v>0.5</v>
      </c>
      <c r="BB25" s="0">
        <f>ROUND((AX25/2*0.4+AY25/1.5*0.3+AZ25/1*0.2+BA25/0.5*0.1)*100,2)</f>
        <v/>
      </c>
      <c r="BC25" s="0">
        <f>ROUND(AC25+AH25+AI25+AL25+AQ25+AS25+AW25+(BB25/100*5),2)</f>
        <v/>
      </c>
      <c r="BD25" s="0">
        <f>IF(BC25&lt;=20,"极弱",IF(BC25&lt;=40,"偏弱",IF(BC25&lt;=60,"中等",IF(BC25&lt;=80,"较强","卓越"))))</f>
        <v/>
      </c>
      <c r="BH25" s="0" t="inlineStr">
        <is>
          <t>抖音/快手</t>
        </is>
      </c>
    </row>
    <row r="26">
      <c r="A26" s="0" t="n">
        <v>25</v>
      </c>
      <c r="B26" s="0" t="inlineStr">
        <is>
          <t>绝世神医开局1个亿天价诊金</t>
        </is>
      </c>
      <c r="C26" s="0" t="inlineStr">
        <is>
          <t>/Users/mr.hu/Desktop/爆款排名/11.4日剧本/绝世神医开局1个亿天价诊金.docx</t>
        </is>
      </c>
      <c r="E26" s="0" t="n">
        <v>27.14</v>
      </c>
      <c r="F26" s="0" t="n">
        <v>22</v>
      </c>
      <c r="G26" s="0">
        <f>IF(E26&lt;=8,"15–20集",IF(E26&lt;=20,"20–30集","30–40集"))</f>
        <v/>
      </c>
      <c r="H26" s="0" t="inlineStr">
        <is>
          <t>男频</t>
        </is>
      </c>
      <c r="I26" s="0" t="inlineStr">
        <is>
          <t>科幻/奇幻</t>
        </is>
      </c>
      <c r="J26" s="0" t="inlineStr">
        <is>
          <t>职场/商战</t>
        </is>
      </c>
      <c r="K26" s="0" t="inlineStr">
        <is>
          <t>写实都市</t>
        </is>
      </c>
      <c r="L26" s="0" t="n">
        <v>5</v>
      </c>
      <c r="M26" s="0" t="n">
        <v>7</v>
      </c>
      <c r="N26" s="0" t="inlineStr">
        <is>
          <t>男性/一二线/45+</t>
        </is>
      </c>
      <c r="O26" s="0" t="inlineStr">
        <is>
          <t>周末黄金</t>
        </is>
      </c>
      <c r="P26" s="0" t="inlineStr">
        <is>
          <t>反转爽点</t>
        </is>
      </c>
      <c r="Q26" s="0" t="n">
        <v>3</v>
      </c>
      <c r="R26" s="0" t="n">
        <v>3</v>
      </c>
      <c r="S26" s="0" t="n">
        <v>2</v>
      </c>
      <c r="T26" s="0" t="n">
        <v>1</v>
      </c>
      <c r="U26" s="0" t="n">
        <v>2</v>
      </c>
      <c r="V26" s="0" t="n">
        <v>2</v>
      </c>
      <c r="W26" s="0" t="n">
        <v>1</v>
      </c>
      <c r="X26" s="0" t="n">
        <v>0</v>
      </c>
      <c r="Y26" s="0" t="n">
        <v>0</v>
      </c>
      <c r="Z26" s="0" t="n">
        <v>4</v>
      </c>
      <c r="AA26" s="0" t="n">
        <v>2</v>
      </c>
      <c r="AB26" s="0" t="n">
        <v>2</v>
      </c>
      <c r="AC26" s="0">
        <f>Y26+Z26+AA26+AB26</f>
        <v/>
      </c>
      <c r="AD26" s="0" t="n">
        <v>5</v>
      </c>
      <c r="AE26" s="0" t="n">
        <v>3</v>
      </c>
      <c r="AF26" s="0" t="n">
        <v>3</v>
      </c>
      <c r="AG26" s="0" t="n">
        <v>0</v>
      </c>
      <c r="AH26" s="0">
        <f>AD26+AE26+AF26+AG26</f>
        <v/>
      </c>
      <c r="AI26" s="0">
        <f>Q26+R26+S26+T26</f>
        <v/>
      </c>
      <c r="AJ26" s="0" t="n">
        <v>3</v>
      </c>
      <c r="AK26" s="0">
        <f>=U26</f>
        <v/>
      </c>
      <c r="AL26" s="0">
        <f>AJ26+U26+V26+W26+X26</f>
        <v/>
      </c>
      <c r="AM26" s="0" t="n">
        <v>2.21</v>
      </c>
      <c r="AN26" s="0" t="n">
        <v>2.21</v>
      </c>
      <c r="AO26" s="0" t="n">
        <v>25</v>
      </c>
      <c r="AP26" s="0" t="n">
        <v>12</v>
      </c>
      <c r="AQ26" s="0">
        <f>ROUND((MIN(AM26,10)/10*8)+(MIN(AN26,10)/10*6)+(MIN(AO26,10)/10*4)+(MIN(AP26,10)/10*2),2)</f>
        <v/>
      </c>
      <c r="AR26" s="0">
        <f>=IF(AQ26&gt;=67,"高",IF(AQ26&gt;=34,"中","低"))</f>
        <v/>
      </c>
      <c r="AS26" s="0">
        <f>=MIN(15,L26+M26)</f>
        <v/>
      </c>
      <c r="AT26" s="0" t="n">
        <v>3</v>
      </c>
      <c r="AU26" s="0" t="n">
        <v>2</v>
      </c>
      <c r="AV26" s="0" t="n">
        <v>2</v>
      </c>
      <c r="AW26" s="0">
        <f>=MIN(10,AT26+AU26+AV26)</f>
        <v/>
      </c>
      <c r="AX26" s="0" t="n">
        <v>2</v>
      </c>
      <c r="AY26" s="0" t="n">
        <v>1.5</v>
      </c>
      <c r="AZ26" s="0" t="n">
        <v>0.775</v>
      </c>
      <c r="BA26" s="0" t="n">
        <v>0.3</v>
      </c>
      <c r="BB26" s="0">
        <f>ROUND((AX26/2*0.4+AY26/1.5*0.3+AZ26/1*0.2+BA26/0.5*0.1)*100,2)</f>
        <v/>
      </c>
      <c r="BC26" s="0">
        <f>ROUND(AC26+AH26+AI26+AL26+AQ26+AS26+AW26+(BB26/100*5),2)</f>
        <v/>
      </c>
      <c r="BD26" s="0">
        <f>IF(BC26&lt;=20,"极弱",IF(BC26&lt;=40,"偏弱",IF(BC26&lt;=60,"中等",IF(BC26&lt;=80,"较强","卓越"))))</f>
        <v/>
      </c>
      <c r="BH26" s="0" t="inlineStr">
        <is>
          <t>抖音/快手</t>
        </is>
      </c>
    </row>
    <row r="27">
      <c r="A27" s="0" t="n">
        <v>26</v>
      </c>
      <c r="B27" s="0" t="inlineStr">
        <is>
          <t>绝世神医：开局1个亿天价诊金</t>
        </is>
      </c>
      <c r="C27" s="0" t="inlineStr">
        <is>
          <t>/Users/mr.hu/Desktop/爆款排名/11.4日剧本/绝世神医：开局1个亿天价诊金.docx</t>
        </is>
      </c>
      <c r="E27" s="0" t="n">
        <v>25.14</v>
      </c>
      <c r="F27" s="0" t="n">
        <v>20</v>
      </c>
      <c r="G27" s="0">
        <f>IF(E27&lt;=8,"15–20集",IF(E27&lt;=20,"20–30集","30–40集"))</f>
        <v/>
      </c>
      <c r="H27" s="0" t="inlineStr">
        <is>
          <t>男频</t>
        </is>
      </c>
      <c r="I27" s="0" t="inlineStr">
        <is>
          <t>科幻/奇幻</t>
        </is>
      </c>
      <c r="J27" s="0" t="inlineStr">
        <is>
          <t>职场/商战</t>
        </is>
      </c>
      <c r="K27" s="0" t="inlineStr">
        <is>
          <t>写实都市</t>
        </is>
      </c>
      <c r="L27" s="0" t="n">
        <v>5</v>
      </c>
      <c r="M27" s="0" t="n">
        <v>5</v>
      </c>
      <c r="N27" s="0" t="inlineStr">
        <is>
          <t>男性/一二线/45+</t>
        </is>
      </c>
      <c r="O27" s="0" t="inlineStr">
        <is>
          <t>节假日前后</t>
        </is>
      </c>
      <c r="P27" s="0" t="inlineStr">
        <is>
          <t>反转爽点</t>
        </is>
      </c>
      <c r="Q27" s="0" t="n">
        <v>3</v>
      </c>
      <c r="R27" s="0" t="n">
        <v>2</v>
      </c>
      <c r="S27" s="0" t="n">
        <v>3</v>
      </c>
      <c r="T27" s="0" t="n">
        <v>1</v>
      </c>
      <c r="U27" s="0" t="n">
        <v>1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4</v>
      </c>
      <c r="AA27" s="0" t="n">
        <v>2</v>
      </c>
      <c r="AB27" s="0" t="n">
        <v>2</v>
      </c>
      <c r="AC27" s="0">
        <f>Y27+Z27+AA27+AB27</f>
        <v/>
      </c>
      <c r="AD27" s="0" t="n">
        <v>5</v>
      </c>
      <c r="AE27" s="0" t="n">
        <v>4</v>
      </c>
      <c r="AF27" s="0" t="n">
        <v>3</v>
      </c>
      <c r="AG27" s="0" t="n">
        <v>0</v>
      </c>
      <c r="AH27" s="0">
        <f>AD27+AE27+AF27+AG27</f>
        <v/>
      </c>
      <c r="AI27" s="0">
        <f>Q27+R27+S27+T27</f>
        <v/>
      </c>
      <c r="AJ27" s="0" t="n">
        <v>3</v>
      </c>
      <c r="AK27" s="0">
        <f>=U27</f>
        <v/>
      </c>
      <c r="AL27" s="0">
        <f>AJ27+U27+V27+W27+X27</f>
        <v/>
      </c>
      <c r="AM27" s="0" t="n">
        <v>0.8</v>
      </c>
      <c r="AN27" s="0" t="n">
        <v>4.77</v>
      </c>
      <c r="AO27" s="0" t="n">
        <v>50</v>
      </c>
      <c r="AP27" s="0" t="n">
        <v>12</v>
      </c>
      <c r="AQ27" s="0">
        <f>ROUND((MIN(AM27,10)/10*8)+(MIN(AN27,10)/10*6)+(MIN(AO27,10)/10*4)+(MIN(AP27,10)/10*2),2)</f>
        <v/>
      </c>
      <c r="AR27" s="0">
        <f>=IF(AQ27&gt;=67,"高",IF(AQ27&gt;=34,"中","低"))</f>
        <v/>
      </c>
      <c r="AS27" s="0">
        <f>=MIN(15,L27+M27)</f>
        <v/>
      </c>
      <c r="AT27" s="0" t="n">
        <v>3</v>
      </c>
      <c r="AU27" s="0" t="n">
        <v>2</v>
      </c>
      <c r="AV27" s="0" t="n">
        <v>2</v>
      </c>
      <c r="AW27" s="0">
        <f>=MIN(10,AT27+AU27+AV27)</f>
        <v/>
      </c>
      <c r="AX27" s="0" t="n">
        <v>2</v>
      </c>
      <c r="AY27" s="0" t="n">
        <v>0.6000000000000001</v>
      </c>
      <c r="AZ27" s="0" t="n">
        <v>0.6607142857142858</v>
      </c>
      <c r="BA27" s="0" t="n">
        <v>0.5</v>
      </c>
      <c r="BB27" s="0">
        <f>ROUND((AX27/2*0.4+AY27/1.5*0.3+AZ27/1*0.2+BA27/0.5*0.1)*100,2)</f>
        <v/>
      </c>
      <c r="BC27" s="0">
        <f>ROUND(AC27+AH27+AI27+AL27+AQ27+AS27+AW27+(BB27/100*5),2)</f>
        <v/>
      </c>
      <c r="BD27" s="0">
        <f>IF(BC27&lt;=20,"极弱",IF(BC27&lt;=40,"偏弱",IF(BC27&lt;=60,"中等",IF(BC27&lt;=80,"较强","卓越"))))</f>
        <v/>
      </c>
      <c r="BH27" s="0" t="inlineStr">
        <is>
          <t>抖音/快手</t>
        </is>
      </c>
    </row>
    <row r="28">
      <c r="A28" s="0" t="n">
        <v>27</v>
      </c>
      <c r="B28" s="0" t="inlineStr">
        <is>
          <t>让你亏欠倒闭，你卡里冰冷四十亿</t>
        </is>
      </c>
      <c r="C28" s="0" t="inlineStr">
        <is>
          <t>/Users/mr.hu/Desktop/爆款排名/11.4日剧本/让你亏欠倒闭，你卡里冰冷四十亿.docx</t>
        </is>
      </c>
      <c r="E28" s="0" t="n">
        <v>25.25</v>
      </c>
      <c r="F28" s="0" t="n">
        <v>21</v>
      </c>
      <c r="G28" s="0">
        <f>IF(E28&lt;=8,"15–20集",IF(E28&lt;=20,"20–30集","30–40集"))</f>
        <v/>
      </c>
      <c r="H28" s="0" t="inlineStr">
        <is>
          <t>男频</t>
        </is>
      </c>
      <c r="I28" s="0" t="inlineStr">
        <is>
          <t>科幻/奇幻</t>
        </is>
      </c>
      <c r="J28" s="0" t="inlineStr">
        <is>
          <t>职场/商战</t>
        </is>
      </c>
      <c r="K28" s="0" t="inlineStr">
        <is>
          <t>写实都市</t>
        </is>
      </c>
      <c r="L28" s="0" t="n">
        <v>4</v>
      </c>
      <c r="M28" s="0" t="n">
        <v>7</v>
      </c>
      <c r="N28" s="0" t="inlineStr">
        <is>
          <t>男性/下沉/18–35</t>
        </is>
      </c>
      <c r="O28" s="0" t="inlineStr">
        <is>
          <t>周末黄金</t>
        </is>
      </c>
      <c r="P28" s="0" t="inlineStr">
        <is>
          <t>反转爽点</t>
        </is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1</v>
      </c>
      <c r="Z28" s="0" t="n">
        <v>4</v>
      </c>
      <c r="AA28" s="0" t="n">
        <v>2</v>
      </c>
      <c r="AB28" s="0" t="n">
        <v>1</v>
      </c>
      <c r="AC28" s="0">
        <f>Y28+Z28+AA28+AB28</f>
        <v/>
      </c>
      <c r="AD28" s="0" t="n">
        <v>4</v>
      </c>
      <c r="AE28" s="0" t="n">
        <v>5</v>
      </c>
      <c r="AF28" s="0" t="n">
        <v>2</v>
      </c>
      <c r="AG28" s="0" t="n">
        <v>1</v>
      </c>
      <c r="AH28" s="0">
        <f>AD28+AE28+AF28+AG28</f>
        <v/>
      </c>
      <c r="AI28" s="0">
        <f>Q28+R28+S28+T28</f>
        <v/>
      </c>
      <c r="AJ28" s="0" t="n">
        <v>3</v>
      </c>
      <c r="AK28" s="0">
        <f>=U28</f>
        <v/>
      </c>
      <c r="AL28" s="0">
        <f>AJ28+U28+V28+W28+X28</f>
        <v/>
      </c>
      <c r="AM28" s="0" t="n">
        <v>0</v>
      </c>
      <c r="AN28" s="0" t="n">
        <v>13.07</v>
      </c>
      <c r="AO28" s="0" t="n">
        <v>0</v>
      </c>
      <c r="AP28" s="0" t="n">
        <v>36</v>
      </c>
      <c r="AQ28" s="0">
        <f>ROUND((MIN(AM28,10)/10*8)+(MIN(AN28,10)/10*6)+(MIN(AO28,10)/10*4)+(MIN(AP28,10)/10*2),2)</f>
        <v/>
      </c>
      <c r="AR28" s="0">
        <f>=IF(AQ28&gt;=67,"高",IF(AQ28&gt;=34,"中","低"))</f>
        <v/>
      </c>
      <c r="AS28" s="0">
        <f>=MIN(15,L28+M28)</f>
        <v/>
      </c>
      <c r="AT28" s="0" t="n">
        <v>3</v>
      </c>
      <c r="AU28" s="0" t="n">
        <v>2</v>
      </c>
      <c r="AV28" s="0" t="n">
        <v>2</v>
      </c>
      <c r="AW28" s="0">
        <f>=MIN(10,AT28+AU28+AV28)</f>
        <v/>
      </c>
      <c r="AX28" s="0" t="n">
        <v>2</v>
      </c>
      <c r="AY28" s="0" t="n">
        <v>1.3</v>
      </c>
      <c r="AZ28" s="0" t="n">
        <v>0.7</v>
      </c>
      <c r="BA28" s="0" t="n">
        <v>0.5</v>
      </c>
      <c r="BB28" s="0">
        <f>ROUND((AX28/2*0.4+AY28/1.5*0.3+AZ28/1*0.2+BA28/0.5*0.1)*100,2)</f>
        <v/>
      </c>
      <c r="BC28" s="0">
        <f>ROUND(AC28+AH28+AI28+AL28+AQ28+AS28+AW28+(BB28/100*5),2)</f>
        <v/>
      </c>
      <c r="BD28" s="0">
        <f>IF(BC28&lt;=20,"极弱",IF(BC28&lt;=40,"偏弱",IF(BC28&lt;=60,"中等",IF(BC28&lt;=80,"较强","卓越"))))</f>
        <v/>
      </c>
      <c r="BH28" s="0" t="inlineStr">
        <is>
          <t>视频号/快手</t>
        </is>
      </c>
    </row>
    <row r="29">
      <c r="A29" s="0" t="n">
        <v>28</v>
      </c>
      <c r="B29" s="0" t="inlineStr">
        <is>
          <t>让你接手三本，怎么成世界名校了</t>
        </is>
      </c>
      <c r="C29" s="0" t="inlineStr">
        <is>
          <t>/Users/mr.hu/Desktop/爆款排名/11.4日剧本/让你接手三本，怎么成世界名校了.docx</t>
        </is>
      </c>
      <c r="E29" s="0" t="n">
        <v>20.1</v>
      </c>
      <c r="F29" s="0" t="n">
        <v>16</v>
      </c>
      <c r="G29" s="0">
        <f>IF(E29&lt;=8,"15–20集",IF(E29&lt;=20,"20–30集","30–40集"))</f>
        <v/>
      </c>
      <c r="H29" s="0" t="inlineStr">
        <is>
          <t>男频</t>
        </is>
      </c>
      <c r="I29" s="0" t="inlineStr">
        <is>
          <t>科幻/奇幻</t>
        </is>
      </c>
      <c r="J29" s="0" t="inlineStr">
        <is>
          <t>职场/商战</t>
        </is>
      </c>
      <c r="K29" s="0" t="inlineStr">
        <is>
          <t>写实都市</t>
        </is>
      </c>
      <c r="L29" s="0" t="n">
        <v>8</v>
      </c>
      <c r="M29" s="0" t="n">
        <v>7</v>
      </c>
      <c r="N29" s="0" t="inlineStr">
        <is>
          <t>男性/一二线/45+</t>
        </is>
      </c>
      <c r="O29" s="0" t="inlineStr">
        <is>
          <t>节假日前后</t>
        </is>
      </c>
      <c r="P29" s="0" t="inlineStr">
        <is>
          <t>反转爽点</t>
        </is>
      </c>
      <c r="Q29" s="0" t="n">
        <v>3</v>
      </c>
      <c r="R29" s="0" t="n">
        <v>2</v>
      </c>
      <c r="S29" s="0" t="n">
        <v>3</v>
      </c>
      <c r="T29" s="0" t="n">
        <v>1</v>
      </c>
      <c r="U29" s="0" t="n">
        <v>3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4</v>
      </c>
      <c r="AA29" s="0" t="n">
        <v>0</v>
      </c>
      <c r="AB29" s="0" t="n">
        <v>2</v>
      </c>
      <c r="AC29" s="0">
        <f>Y29+Z29+AA29+AB29</f>
        <v/>
      </c>
      <c r="AD29" s="0" t="n">
        <v>4</v>
      </c>
      <c r="AE29" s="0" t="n">
        <v>2</v>
      </c>
      <c r="AF29" s="0" t="n">
        <v>2</v>
      </c>
      <c r="AG29" s="0" t="n">
        <v>0</v>
      </c>
      <c r="AH29" s="0">
        <f>AD29+AE29+AF29+AG29</f>
        <v/>
      </c>
      <c r="AI29" s="0">
        <f>Q29+R29+S29+T29</f>
        <v/>
      </c>
      <c r="AJ29" s="0" t="n">
        <v>3</v>
      </c>
      <c r="AK29" s="0">
        <f>=U29</f>
        <v/>
      </c>
      <c r="AL29" s="0">
        <f>AJ29+U29+V29+W29+X29</f>
        <v/>
      </c>
      <c r="AM29" s="0" t="n">
        <v>0</v>
      </c>
      <c r="AN29" s="0" t="n">
        <v>0</v>
      </c>
      <c r="AO29" s="0" t="n">
        <v>0</v>
      </c>
      <c r="AP29" s="0" t="n">
        <v>0</v>
      </c>
      <c r="AQ29" s="0">
        <f>ROUND((MIN(AM29,10)/10*8)+(MIN(AN29,10)/10*6)+(MIN(AO29,10)/10*4)+(MIN(AP29,10)/10*2),2)</f>
        <v/>
      </c>
      <c r="AR29" s="0">
        <f>=IF(AQ29&gt;=67,"高",IF(AQ29&gt;=34,"中","低"))</f>
        <v/>
      </c>
      <c r="AS29" s="0">
        <f>=MIN(15,L29+M29)</f>
        <v/>
      </c>
      <c r="AT29" s="0" t="n">
        <v>3</v>
      </c>
      <c r="AU29" s="0" t="n">
        <v>2</v>
      </c>
      <c r="AV29" s="0" t="n">
        <v>2</v>
      </c>
      <c r="AW29" s="0">
        <f>=MIN(10,AT29+AU29+AV29)</f>
        <v/>
      </c>
      <c r="AX29" s="0" t="n">
        <v>2</v>
      </c>
      <c r="AY29" s="0" t="n">
        <v>0.5</v>
      </c>
      <c r="AZ29" s="0" t="n">
        <v>1</v>
      </c>
      <c r="BA29" s="0" t="n">
        <v>0.5</v>
      </c>
      <c r="BB29" s="0">
        <f>ROUND((AX29/2*0.4+AY29/1.5*0.3+AZ29/1*0.2+BA29/0.5*0.1)*100,2)</f>
        <v/>
      </c>
      <c r="BC29" s="0">
        <f>ROUND(AC29+AH29+AI29+AL29+AQ29+AS29+AW29+(BB29/100*5),2)</f>
        <v/>
      </c>
      <c r="BD29" s="0">
        <f>IF(BC29&lt;=20,"极弱",IF(BC29&lt;=40,"偏弱",IF(BC29&lt;=60,"中等",IF(BC29&lt;=80,"较强","卓越"))))</f>
        <v/>
      </c>
      <c r="BH29" s="0" t="inlineStr">
        <is>
          <t>抖音/快手</t>
        </is>
      </c>
    </row>
    <row r="30">
      <c r="A30" s="0" t="n">
        <v>29</v>
      </c>
      <c r="B30" s="0" t="inlineStr">
        <is>
          <t>透视医婿</t>
        </is>
      </c>
      <c r="C30" s="0" t="inlineStr">
        <is>
          <t>/Users/mr.hu/Desktop/爆款排名/11.4日剧本/透视医婿.docx</t>
        </is>
      </c>
      <c r="E30" s="0" t="n">
        <v>24.93</v>
      </c>
      <c r="F30" s="0" t="n">
        <v>20</v>
      </c>
      <c r="G30" s="0">
        <f>IF(E30&lt;=8,"15–20集",IF(E30&lt;=20,"20–30集","30–40集"))</f>
        <v/>
      </c>
      <c r="H30" s="0" t="inlineStr">
        <is>
          <t>男频</t>
        </is>
      </c>
      <c r="I30" s="0" t="inlineStr">
        <is>
          <t>科幻/奇幻</t>
        </is>
      </c>
      <c r="J30" s="0" t="inlineStr">
        <is>
          <t>职场/商战</t>
        </is>
      </c>
      <c r="K30" s="0" t="inlineStr">
        <is>
          <t>写实都市</t>
        </is>
      </c>
      <c r="L30" s="0" t="n">
        <v>5</v>
      </c>
      <c r="M30" s="0" t="n">
        <v>5</v>
      </c>
      <c r="N30" s="0" t="inlineStr">
        <is>
          <t>男性/下沉/18–35</t>
        </is>
      </c>
      <c r="O30" s="0" t="inlineStr">
        <is>
          <t>节假日前后</t>
        </is>
      </c>
      <c r="P30" s="0" t="inlineStr">
        <is>
          <t>成长救赎</t>
        </is>
      </c>
      <c r="Q30" s="0" t="n">
        <v>3</v>
      </c>
      <c r="R30" s="0" t="n">
        <v>3</v>
      </c>
      <c r="S30" s="0" t="n">
        <v>3</v>
      </c>
      <c r="T30" s="0" t="n">
        <v>1</v>
      </c>
      <c r="U30" s="0" t="n">
        <v>1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4</v>
      </c>
      <c r="AA30" s="0" t="n">
        <v>2</v>
      </c>
      <c r="AB30" s="0" t="n">
        <v>1</v>
      </c>
      <c r="AC30" s="0">
        <f>Y30+Z30+AA30+AB30</f>
        <v/>
      </c>
      <c r="AD30" s="0" t="n">
        <v>1</v>
      </c>
      <c r="AE30" s="0" t="n">
        <v>3</v>
      </c>
      <c r="AF30" s="0" t="n">
        <v>2</v>
      </c>
      <c r="AG30" s="0" t="n">
        <v>1</v>
      </c>
      <c r="AH30" s="0">
        <f>AD30+AE30+AF30+AG30</f>
        <v/>
      </c>
      <c r="AI30" s="0">
        <f>Q30+R30+S30+T30</f>
        <v/>
      </c>
      <c r="AJ30" s="0" t="n">
        <v>3</v>
      </c>
      <c r="AK30" s="0">
        <f>=U30</f>
        <v/>
      </c>
      <c r="AL30" s="0">
        <f>AJ30+U30+V30+W30+X30</f>
        <v/>
      </c>
      <c r="AM30" s="0" t="n">
        <v>0.8</v>
      </c>
      <c r="AN30" s="0" t="n">
        <v>1.2</v>
      </c>
      <c r="AO30" s="0" t="n">
        <v>0</v>
      </c>
      <c r="AP30" s="0" t="n">
        <v>48</v>
      </c>
      <c r="AQ30" s="0">
        <f>ROUND((MIN(AM30,10)/10*8)+(MIN(AN30,10)/10*6)+(MIN(AO30,10)/10*4)+(MIN(AP30,10)/10*2),2)</f>
        <v/>
      </c>
      <c r="AR30" s="0">
        <f>=IF(AQ30&gt;=67,"高",IF(AQ30&gt;=34,"中","低"))</f>
        <v/>
      </c>
      <c r="AS30" s="0">
        <f>=MIN(15,L30+M30)</f>
        <v/>
      </c>
      <c r="AT30" s="0" t="n">
        <v>2</v>
      </c>
      <c r="AU30" s="0" t="n">
        <v>2</v>
      </c>
      <c r="AV30" s="0" t="n">
        <v>3</v>
      </c>
      <c r="AW30" s="0">
        <f>=MIN(10,AT30+AU30+AV30)</f>
        <v/>
      </c>
      <c r="AX30" s="0" t="n">
        <v>1</v>
      </c>
      <c r="AY30" s="0" t="n">
        <v>0.7</v>
      </c>
      <c r="AZ30" s="0" t="n">
        <v>0.6607142857142858</v>
      </c>
      <c r="BA30" s="0" t="n">
        <v>0.5</v>
      </c>
      <c r="BB30" s="0">
        <f>ROUND((AX30/2*0.4+AY30/1.5*0.3+AZ30/1*0.2+BA30/0.5*0.1)*100,2)</f>
        <v/>
      </c>
      <c r="BC30" s="0">
        <f>ROUND(AC30+AH30+AI30+AL30+AQ30+AS30+AW30+(BB30/100*5),2)</f>
        <v/>
      </c>
      <c r="BD30" s="0">
        <f>IF(BC30&lt;=20,"极弱",IF(BC30&lt;=40,"偏弱",IF(BC30&lt;=60,"中等",IF(BC30&lt;=80,"较强","卓越"))))</f>
        <v/>
      </c>
      <c r="BH30" s="0" t="inlineStr">
        <is>
          <t>视频号/快手</t>
        </is>
      </c>
    </row>
    <row r="31">
      <c r="A31" s="0" t="n">
        <v>30</v>
      </c>
      <c r="B31" s="0" t="inlineStr">
        <is>
          <t>重回85渔村，放弃前妻娶灾星女</t>
        </is>
      </c>
      <c r="C31" s="0" t="inlineStr">
        <is>
          <t>/Users/mr.hu/Desktop/爆款排名/11.4日剧本/重回85渔村，放弃前妻娶灾星女.docx</t>
        </is>
      </c>
      <c r="E31" s="0" t="n">
        <v>25.15</v>
      </c>
      <c r="F31" s="0" t="n">
        <v>20</v>
      </c>
      <c r="G31" s="0">
        <f>IF(E31&lt;=8,"15–20集",IF(E31&lt;=20,"20–30集","30–40集"))</f>
        <v/>
      </c>
      <c r="H31" s="0" t="inlineStr">
        <is>
          <t>男频</t>
        </is>
      </c>
      <c r="I31" s="0" t="inlineStr">
        <is>
          <t>现代</t>
        </is>
      </c>
      <c r="J31" s="0" t="inlineStr">
        <is>
          <t>职场/商战</t>
        </is>
      </c>
      <c r="K31" s="0" t="inlineStr">
        <is>
          <t>写实都市</t>
        </is>
      </c>
      <c r="L31" s="0" t="n">
        <v>5</v>
      </c>
      <c r="M31" s="0" t="n">
        <v>7</v>
      </c>
      <c r="N31" s="0" t="inlineStr">
        <is>
          <t>男性/下沉/45+</t>
        </is>
      </c>
      <c r="O31" s="0" t="inlineStr">
        <is>
          <t>周末黄金</t>
        </is>
      </c>
      <c r="P31" s="0" t="inlineStr">
        <is>
          <t>成长救赎</t>
        </is>
      </c>
      <c r="Q31" s="0" t="n">
        <v>3</v>
      </c>
      <c r="R31" s="0" t="n">
        <v>3</v>
      </c>
      <c r="S31" s="0" t="n">
        <v>3</v>
      </c>
      <c r="T31" s="0" t="n">
        <v>0</v>
      </c>
      <c r="U31" s="0" t="n">
        <v>2</v>
      </c>
      <c r="V31" s="0" t="n">
        <v>0</v>
      </c>
      <c r="W31" s="0" t="n">
        <v>1</v>
      </c>
      <c r="X31" s="0" t="n">
        <v>1</v>
      </c>
      <c r="Y31" s="0" t="n">
        <v>2</v>
      </c>
      <c r="Z31" s="0" t="n">
        <v>4</v>
      </c>
      <c r="AA31" s="0" t="n">
        <v>2</v>
      </c>
      <c r="AB31" s="0" t="n">
        <v>1</v>
      </c>
      <c r="AC31" s="0">
        <f>Y31+Z31+AA31+AB31</f>
        <v/>
      </c>
      <c r="AD31" s="0" t="n">
        <v>2</v>
      </c>
      <c r="AE31" s="0" t="n">
        <v>6</v>
      </c>
      <c r="AF31" s="0" t="n">
        <v>2</v>
      </c>
      <c r="AG31" s="0" t="n">
        <v>0</v>
      </c>
      <c r="AH31" s="0">
        <f>AD31+AE31+AF31+AG31</f>
        <v/>
      </c>
      <c r="AI31" s="0">
        <f>Q31+R31+S31+T31</f>
        <v/>
      </c>
      <c r="AJ31" s="0" t="n">
        <v>3</v>
      </c>
      <c r="AK31" s="0">
        <f>=U31</f>
        <v/>
      </c>
      <c r="AL31" s="0">
        <f>AJ31+U31+V31+W31+X31</f>
        <v/>
      </c>
      <c r="AM31" s="0" t="n">
        <v>0.8</v>
      </c>
      <c r="AN31" s="0" t="n">
        <v>16.7</v>
      </c>
      <c r="AO31" s="0" t="n">
        <v>0</v>
      </c>
      <c r="AP31" s="0" t="n">
        <v>48</v>
      </c>
      <c r="AQ31" s="0">
        <f>ROUND((MIN(AM31,10)/10*8)+(MIN(AN31,10)/10*6)+(MIN(AO31,10)/10*4)+(MIN(AP31,10)/10*2),2)</f>
        <v/>
      </c>
      <c r="AR31" s="0">
        <f>=IF(AQ31&gt;=67,"高",IF(AQ31&gt;=34,"中","低"))</f>
        <v/>
      </c>
      <c r="AS31" s="0">
        <f>=MIN(15,L31+M31)</f>
        <v/>
      </c>
      <c r="AT31" s="0" t="n">
        <v>3</v>
      </c>
      <c r="AU31" s="0" t="n">
        <v>2</v>
      </c>
      <c r="AV31" s="0" t="n">
        <v>3</v>
      </c>
      <c r="AW31" s="0">
        <f>=MIN(10,AT31+AU31+AV31)</f>
        <v/>
      </c>
      <c r="AX31" s="0" t="n">
        <v>2</v>
      </c>
      <c r="AY31" s="0" t="n">
        <v>1.2</v>
      </c>
      <c r="AZ31" s="0" t="n">
        <v>0.775</v>
      </c>
      <c r="BA31" s="0" t="n">
        <v>0.5</v>
      </c>
      <c r="BB31" s="0">
        <f>ROUND((AX31/2*0.4+AY31/1.5*0.3+AZ31/1*0.2+BA31/0.5*0.1)*100,2)</f>
        <v/>
      </c>
      <c r="BC31" s="0">
        <f>ROUND(AC31+AH31+AI31+AL31+AQ31+AS31+AW31+(BB31/100*5),2)</f>
        <v/>
      </c>
      <c r="BD31" s="0">
        <f>IF(BC31&lt;=20,"极弱",IF(BC31&lt;=40,"偏弱",IF(BC31&lt;=60,"中等",IF(BC31&lt;=80,"较强","卓越"))))</f>
        <v/>
      </c>
      <c r="BH31" s="0" t="inlineStr">
        <is>
          <t>视频号/快手</t>
        </is>
      </c>
    </row>
    <row r="32">
      <c r="A32" s="0" t="n">
        <v>31</v>
      </c>
      <c r="B32" s="0" t="inlineStr">
        <is>
          <t>重生2002我真不是精神分裂</t>
        </is>
      </c>
      <c r="C32" s="0" t="inlineStr">
        <is>
          <t>/Users/mr.hu/Desktop/爆款排名/11.4日剧本/重生2002我真不是精神分裂.docx</t>
        </is>
      </c>
      <c r="E32" s="0" t="n">
        <v>26.8</v>
      </c>
      <c r="F32" s="0" t="n">
        <v>22</v>
      </c>
      <c r="G32" s="0">
        <f>IF(E32&lt;=8,"15–20集",IF(E32&lt;=20,"20–30集","30–40集"))</f>
        <v/>
      </c>
      <c r="H32" s="0" t="inlineStr">
        <is>
          <t>女频</t>
        </is>
      </c>
      <c r="I32" s="0" t="inlineStr">
        <is>
          <t>科幻/奇幻</t>
        </is>
      </c>
      <c r="J32" s="0" t="inlineStr">
        <is>
          <t>职场/商战</t>
        </is>
      </c>
      <c r="K32" s="0" t="inlineStr">
        <is>
          <t>写实都市</t>
        </is>
      </c>
      <c r="L32" s="0" t="n">
        <v>8</v>
      </c>
      <c r="M32" s="0" t="n">
        <v>7</v>
      </c>
      <c r="N32" s="0" t="inlineStr">
        <is>
          <t>女性/一二线/45+</t>
        </is>
      </c>
      <c r="O32" s="0" t="inlineStr">
        <is>
          <t>周末黄金</t>
        </is>
      </c>
      <c r="P32" s="0" t="inlineStr">
        <is>
          <t>反转爽点</t>
        </is>
      </c>
      <c r="Q32" s="0" t="n">
        <v>3</v>
      </c>
      <c r="R32" s="0" t="n">
        <v>3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2</v>
      </c>
      <c r="Z32" s="0" t="n">
        <v>4</v>
      </c>
      <c r="AA32" s="0" t="n">
        <v>2</v>
      </c>
      <c r="AB32" s="0" t="n">
        <v>2</v>
      </c>
      <c r="AC32" s="0">
        <f>Y32+Z32+AA32+AB32</f>
        <v/>
      </c>
      <c r="AD32" s="0" t="n">
        <v>3</v>
      </c>
      <c r="AE32" s="0" t="n">
        <v>6</v>
      </c>
      <c r="AF32" s="0" t="n">
        <v>3</v>
      </c>
      <c r="AG32" s="0" t="n">
        <v>1</v>
      </c>
      <c r="AH32" s="0">
        <f>AD32+AE32+AF32+AG32</f>
        <v/>
      </c>
      <c r="AI32" s="0">
        <f>Q32+R32+S32+T32</f>
        <v/>
      </c>
      <c r="AJ32" s="0" t="n">
        <v>3</v>
      </c>
      <c r="AK32" s="0">
        <f>=U32</f>
        <v/>
      </c>
      <c r="AL32" s="0">
        <f>AJ32+U32+V32+W32+X32</f>
        <v/>
      </c>
      <c r="AM32" s="0" t="n">
        <v>5.97</v>
      </c>
      <c r="AN32" s="0" t="n">
        <v>16.79</v>
      </c>
      <c r="AO32" s="0" t="n">
        <v>50</v>
      </c>
      <c r="AP32" s="0" t="n">
        <v>12</v>
      </c>
      <c r="AQ32" s="0">
        <f>ROUND((MIN(AM32,10)/10*8)+(MIN(AN32,10)/10*6)+(MIN(AO32,10)/10*4)+(MIN(AP32,10)/10*2),2)</f>
        <v/>
      </c>
      <c r="AR32" s="0">
        <f>=IF(AQ32&gt;=67,"高",IF(AQ32&gt;=34,"中","低"))</f>
        <v/>
      </c>
      <c r="AS32" s="0">
        <f>=MIN(15,L32+M32)</f>
        <v/>
      </c>
      <c r="AT32" s="0" t="n">
        <v>3</v>
      </c>
      <c r="AU32" s="0" t="n">
        <v>2</v>
      </c>
      <c r="AV32" s="0" t="n">
        <v>3</v>
      </c>
      <c r="AW32" s="0">
        <f>=MIN(10,AT32+AU32+AV32)</f>
        <v/>
      </c>
      <c r="AX32" s="0" t="n">
        <v>2</v>
      </c>
      <c r="AY32" s="0" t="n">
        <v>1.5</v>
      </c>
      <c r="AZ32" s="0" t="n">
        <v>1</v>
      </c>
      <c r="BA32" s="0" t="n">
        <v>0.5</v>
      </c>
      <c r="BB32" s="0">
        <f>ROUND((AX32/2*0.4+AY32/1.5*0.3+AZ32/1*0.2+BA32/0.5*0.1)*100,2)</f>
        <v/>
      </c>
      <c r="BC32" s="0">
        <f>ROUND(AC32+AH32+AI32+AL32+AQ32+AS32+AW32+(BB32/100*5),2)</f>
        <v/>
      </c>
      <c r="BD32" s="0">
        <f>IF(BC32&lt;=20,"极弱",IF(BC32&lt;=40,"偏弱",IF(BC32&lt;=60,"中等",IF(BC32&lt;=80,"较强","卓越"))))</f>
        <v/>
      </c>
      <c r="BH32" s="0" t="inlineStr">
        <is>
          <t>抖音/快手</t>
        </is>
      </c>
    </row>
    <row r="33">
      <c r="A33" s="0" t="n">
        <v>32</v>
      </c>
      <c r="B33" s="0" t="inlineStr">
        <is>
          <t>重生83：回到老婆女儿死亡那天</t>
        </is>
      </c>
      <c r="C33" s="0" t="inlineStr">
        <is>
          <t>/Users/mr.hu/Desktop/爆款排名/11.4日剧本/重生83：回到老婆女儿死亡那天.docx</t>
        </is>
      </c>
      <c r="E33" s="0" t="n">
        <v>22.39</v>
      </c>
      <c r="F33" s="0" t="n">
        <v>18</v>
      </c>
      <c r="G33" s="0">
        <f>IF(E33&lt;=8,"15–20集",IF(E33&lt;=20,"20–30集","30–40集"))</f>
        <v/>
      </c>
      <c r="H33" s="0" t="inlineStr">
        <is>
          <t>男频</t>
        </is>
      </c>
      <c r="I33" s="0" t="inlineStr">
        <is>
          <t>科幻/奇幻</t>
        </is>
      </c>
      <c r="J33" s="0" t="inlineStr">
        <is>
          <t>职场/商战</t>
        </is>
      </c>
      <c r="K33" s="0" t="inlineStr">
        <is>
          <t>写实都市</t>
        </is>
      </c>
      <c r="L33" s="0" t="n">
        <v>7</v>
      </c>
      <c r="M33" s="0" t="n">
        <v>4</v>
      </c>
      <c r="N33" s="0" t="inlineStr">
        <is>
          <t>男性/下沉/45+</t>
        </is>
      </c>
      <c r="O33" s="0" t="inlineStr">
        <is>
          <t>周末黄金</t>
        </is>
      </c>
      <c r="P33" s="0" t="inlineStr">
        <is>
          <t>反转爽点</t>
        </is>
      </c>
      <c r="Q33" s="0" t="n">
        <v>3</v>
      </c>
      <c r="R33" s="0" t="n">
        <v>3</v>
      </c>
      <c r="S33" s="0" t="n">
        <v>3</v>
      </c>
      <c r="T33" s="0" t="n">
        <v>1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2</v>
      </c>
      <c r="AB33" s="0" t="n">
        <v>2</v>
      </c>
      <c r="AC33" s="0">
        <f>Y33+Z33+AA33+AB33</f>
        <v/>
      </c>
      <c r="AD33" s="0" t="n">
        <v>2</v>
      </c>
      <c r="AE33" s="0" t="n">
        <v>3</v>
      </c>
      <c r="AF33" s="0" t="n">
        <v>2</v>
      </c>
      <c r="AG33" s="0" t="n">
        <v>1</v>
      </c>
      <c r="AH33" s="0">
        <f>AD33+AE33+AF33+AG33</f>
        <v/>
      </c>
      <c r="AI33" s="0">
        <f>Q33+R33+S33+T33</f>
        <v/>
      </c>
      <c r="AJ33" s="0" t="n">
        <v>3</v>
      </c>
      <c r="AK33" s="0">
        <f>=U33</f>
        <v/>
      </c>
      <c r="AL33" s="0">
        <f>AJ33+U33+V33+W33+X33</f>
        <v/>
      </c>
      <c r="AM33" s="0" t="n">
        <v>1.79</v>
      </c>
      <c r="AN33" s="0" t="n">
        <v>0</v>
      </c>
      <c r="AO33" s="0" t="n">
        <v>25</v>
      </c>
      <c r="AP33" s="0" t="n">
        <v>12</v>
      </c>
      <c r="AQ33" s="0">
        <f>ROUND((MIN(AM33,10)/10*8)+(MIN(AN33,10)/10*6)+(MIN(AO33,10)/10*4)+(MIN(AP33,10)/10*2),2)</f>
        <v/>
      </c>
      <c r="AR33" s="0">
        <f>=IF(AQ33&gt;=67,"高",IF(AQ33&gt;=34,"中","低"))</f>
        <v/>
      </c>
      <c r="AS33" s="0">
        <f>=MIN(15,L33+M33)</f>
        <v/>
      </c>
      <c r="AT33" s="0" t="n">
        <v>3</v>
      </c>
      <c r="AU33" s="0" t="n">
        <v>2</v>
      </c>
      <c r="AV33" s="0" t="n">
        <v>2</v>
      </c>
      <c r="AW33" s="0">
        <f>=MIN(10,AT33+AU33+AV33)</f>
        <v/>
      </c>
      <c r="AX33" s="0" t="n">
        <v>2</v>
      </c>
      <c r="AY33" s="0" t="n">
        <v>1.5</v>
      </c>
      <c r="AZ33" s="0" t="n">
        <v>0.7535714285714286</v>
      </c>
      <c r="BA33" s="0" t="n">
        <v>0</v>
      </c>
      <c r="BB33" s="0">
        <f>ROUND((AX33/2*0.4+AY33/1.5*0.3+AZ33/1*0.2+BA33/0.5*0.1)*100,2)</f>
        <v/>
      </c>
      <c r="BC33" s="0">
        <f>ROUND(AC33+AH33+AI33+AL33+AQ33+AS33+AW33+(BB33/100*5),2)</f>
        <v/>
      </c>
      <c r="BD33" s="0">
        <f>IF(BC33&lt;=20,"极弱",IF(BC33&lt;=40,"偏弱",IF(BC33&lt;=60,"中等",IF(BC33&lt;=80,"较强","卓越"))))</f>
        <v/>
      </c>
      <c r="BH33" s="0" t="inlineStr">
        <is>
          <t>视频号/快手</t>
        </is>
      </c>
    </row>
    <row r="34">
      <c r="A34" s="0" t="n">
        <v>33</v>
      </c>
      <c r="B34" s="0" t="inlineStr">
        <is>
          <t>重返大学，开局成了富二代</t>
        </is>
      </c>
      <c r="C34" s="0" t="inlineStr">
        <is>
          <t>/Users/mr.hu/Desktop/爆款排名/11.4日剧本/重返大学，开局成了富二代.docx</t>
        </is>
      </c>
      <c r="E34" s="0" t="n">
        <v>23.91</v>
      </c>
      <c r="F34" s="0" t="n">
        <v>19</v>
      </c>
      <c r="G34" s="0">
        <f>IF(E34&lt;=8,"15–20集",IF(E34&lt;=20,"20–30集","30–40集"))</f>
        <v/>
      </c>
      <c r="H34" s="0" t="inlineStr">
        <is>
          <t>男频</t>
        </is>
      </c>
      <c r="I34" s="0" t="inlineStr">
        <is>
          <t>现代</t>
        </is>
      </c>
      <c r="J34" s="0" t="inlineStr">
        <is>
          <t>职场/商战</t>
        </is>
      </c>
      <c r="K34" s="0" t="inlineStr">
        <is>
          <t>写实都市</t>
        </is>
      </c>
      <c r="L34" s="0" t="n">
        <v>6</v>
      </c>
      <c r="M34" s="0" t="n">
        <v>5</v>
      </c>
      <c r="N34" s="0" t="inlineStr">
        <is>
          <t>男性/一二线/45+</t>
        </is>
      </c>
      <c r="O34" s="0" t="inlineStr">
        <is>
          <t>周末黄金</t>
        </is>
      </c>
      <c r="P34" s="0" t="inlineStr">
        <is>
          <t>知识信息量</t>
        </is>
      </c>
      <c r="Q34" s="0" t="n">
        <v>3</v>
      </c>
      <c r="R34" s="0" t="n">
        <v>2</v>
      </c>
      <c r="S34" s="0" t="n">
        <v>3</v>
      </c>
      <c r="T34" s="0" t="n">
        <v>0</v>
      </c>
      <c r="U34" s="0" t="n">
        <v>2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4</v>
      </c>
      <c r="AA34" s="0" t="n">
        <v>2</v>
      </c>
      <c r="AB34" s="0" t="n">
        <v>2</v>
      </c>
      <c r="AC34" s="0">
        <f>Y34+Z34+AA34+AB34</f>
        <v/>
      </c>
      <c r="AD34" s="0" t="n">
        <v>3</v>
      </c>
      <c r="AE34" s="0" t="n">
        <v>3</v>
      </c>
      <c r="AF34" s="0" t="n">
        <v>2</v>
      </c>
      <c r="AG34" s="0" t="n">
        <v>1</v>
      </c>
      <c r="AH34" s="0">
        <f>AD34+AE34+AF34+AG34</f>
        <v/>
      </c>
      <c r="AI34" s="0">
        <f>Q34+R34+S34+T34</f>
        <v/>
      </c>
      <c r="AJ34" s="0" t="n">
        <v>3</v>
      </c>
      <c r="AK34" s="0">
        <f>=U34</f>
        <v/>
      </c>
      <c r="AL34" s="0">
        <f>AJ34+U34+V34+W34+X34</f>
        <v/>
      </c>
      <c r="AM34" s="0" t="n">
        <v>0</v>
      </c>
      <c r="AN34" s="0" t="n">
        <v>2.51</v>
      </c>
      <c r="AO34" s="0" t="n">
        <v>0</v>
      </c>
      <c r="AP34" s="0" t="n">
        <v>0</v>
      </c>
      <c r="AQ34" s="0">
        <f>ROUND((MIN(AM34,10)/10*8)+(MIN(AN34,10)/10*6)+(MIN(AO34,10)/10*4)+(MIN(AP34,10)/10*2),2)</f>
        <v/>
      </c>
      <c r="AR34" s="0">
        <f>=IF(AQ34&gt;=67,"高",IF(AQ34&gt;=34,"中","低"))</f>
        <v/>
      </c>
      <c r="AS34" s="0">
        <f>=MIN(15,L34+M34)</f>
        <v/>
      </c>
      <c r="AT34" s="0" t="n">
        <v>3</v>
      </c>
      <c r="AU34" s="0" t="n">
        <v>2</v>
      </c>
      <c r="AV34" s="0" t="n">
        <v>2</v>
      </c>
      <c r="AW34" s="0">
        <f>=MIN(10,AT34+AU34+AV34)</f>
        <v/>
      </c>
      <c r="AX34" s="0" t="n">
        <v>2</v>
      </c>
      <c r="AY34" s="0" t="n">
        <v>1.05</v>
      </c>
      <c r="AZ34" s="0" t="n">
        <v>0.7357142857142858</v>
      </c>
      <c r="BA34" s="0" t="n">
        <v>0.5</v>
      </c>
      <c r="BB34" s="0">
        <f>ROUND((AX34/2*0.4+AY34/1.5*0.3+AZ34/1*0.2+BA34/0.5*0.1)*100,2)</f>
        <v/>
      </c>
      <c r="BC34" s="0">
        <f>ROUND(AC34+AH34+AI34+AL34+AQ34+AS34+AW34+(BB34/100*5),2)</f>
        <v/>
      </c>
      <c r="BD34" s="0">
        <f>IF(BC34&lt;=20,"极弱",IF(BC34&lt;=40,"偏弱",IF(BC34&lt;=60,"中等",IF(BC34&lt;=80,"较强","卓越"))))</f>
        <v/>
      </c>
      <c r="BH34" s="0" t="inlineStr">
        <is>
          <t>抖音/快手</t>
        </is>
      </c>
    </row>
    <row r="35">
      <c r="A35" s="0" t="n">
        <v>34</v>
      </c>
      <c r="B35" s="0" t="inlineStr">
        <is>
          <t>预知未来，我成了校花的救命恩人</t>
        </is>
      </c>
      <c r="C35" s="0" t="inlineStr">
        <is>
          <t>/Users/mr.hu/Desktop/爆款排名/11.4日剧本/预知未来，我成了校花的救命恩人.docx</t>
        </is>
      </c>
      <c r="E35" s="0" t="n">
        <v>18.18</v>
      </c>
      <c r="F35" s="0" t="n">
        <v>15</v>
      </c>
      <c r="G35" s="0">
        <f>IF(E35&lt;=8,"15–20集",IF(E35&lt;=20,"20–30集","30–40集"))</f>
        <v/>
      </c>
      <c r="H35" s="0" t="inlineStr">
        <is>
          <t>男频</t>
        </is>
      </c>
      <c r="I35" s="0" t="inlineStr">
        <is>
          <t>古代</t>
        </is>
      </c>
      <c r="J35" s="0" t="inlineStr">
        <is>
          <t>职场/商战</t>
        </is>
      </c>
      <c r="K35" s="0" t="inlineStr">
        <is>
          <t>武侠动作</t>
        </is>
      </c>
      <c r="L35" s="0" t="n">
        <v>6</v>
      </c>
      <c r="M35" s="0" t="n">
        <v>7</v>
      </c>
      <c r="N35" s="0" t="inlineStr">
        <is>
          <t>男性/一二线/45+</t>
        </is>
      </c>
      <c r="O35" s="0" t="inlineStr">
        <is>
          <t>节假日前后</t>
        </is>
      </c>
      <c r="P35" s="0" t="inlineStr">
        <is>
          <t>反转爽点</t>
        </is>
      </c>
      <c r="Q35" s="0" t="n">
        <v>3</v>
      </c>
      <c r="R35" s="0" t="n">
        <v>3</v>
      </c>
      <c r="S35" s="0" t="n">
        <v>3</v>
      </c>
      <c r="T35" s="0" t="n">
        <v>0</v>
      </c>
      <c r="U35" s="0" t="n">
        <v>1</v>
      </c>
      <c r="V35" s="0" t="n">
        <v>2</v>
      </c>
      <c r="W35" s="0" t="n">
        <v>0</v>
      </c>
      <c r="X35" s="0" t="n">
        <v>1</v>
      </c>
      <c r="Y35" s="0" t="n">
        <v>0</v>
      </c>
      <c r="Z35" s="0" t="n">
        <v>4</v>
      </c>
      <c r="AA35" s="0" t="n">
        <v>2</v>
      </c>
      <c r="AB35" s="0" t="n">
        <v>2</v>
      </c>
      <c r="AC35" s="0">
        <f>Y35+Z35+AA35+AB35</f>
        <v/>
      </c>
      <c r="AD35" s="0" t="n">
        <v>2</v>
      </c>
      <c r="AE35" s="0" t="n">
        <v>5</v>
      </c>
      <c r="AF35" s="0" t="n">
        <v>2</v>
      </c>
      <c r="AG35" s="0" t="n">
        <v>0</v>
      </c>
      <c r="AH35" s="0">
        <f>AD35+AE35+AF35+AG35</f>
        <v/>
      </c>
      <c r="AI35" s="0">
        <f>Q35+R35+S35+T35</f>
        <v/>
      </c>
      <c r="AJ35" s="0" t="n">
        <v>3</v>
      </c>
      <c r="AK35" s="0">
        <f>=U35</f>
        <v/>
      </c>
      <c r="AL35" s="0">
        <f>AJ35+U35+V35+W35+X35</f>
        <v/>
      </c>
      <c r="AM35" s="0" t="n">
        <v>1.1</v>
      </c>
      <c r="AN35" s="0" t="n">
        <v>14.85</v>
      </c>
      <c r="AO35" s="0" t="n">
        <v>0</v>
      </c>
      <c r="AP35" s="0" t="n">
        <v>12</v>
      </c>
      <c r="AQ35" s="0">
        <f>ROUND((MIN(AM35,10)/10*8)+(MIN(AN35,10)/10*6)+(MIN(AO35,10)/10*4)+(MIN(AP35,10)/10*2),2)</f>
        <v/>
      </c>
      <c r="AR35" s="0">
        <f>=IF(AQ35&gt;=67,"高",IF(AQ35&gt;=34,"中","低"))</f>
        <v/>
      </c>
      <c r="AS35" s="0">
        <f>=MIN(15,L35+M35)</f>
        <v/>
      </c>
      <c r="AT35" s="0" t="n">
        <v>3</v>
      </c>
      <c r="AU35" s="0" t="n">
        <v>2</v>
      </c>
      <c r="AV35" s="0" t="n">
        <v>2</v>
      </c>
      <c r="AW35" s="0">
        <f>=MIN(10,AT35+AU35+AV35)</f>
        <v/>
      </c>
      <c r="AX35" s="0" t="n">
        <v>2</v>
      </c>
      <c r="AY35" s="0" t="n">
        <v>0.75</v>
      </c>
      <c r="AZ35" s="0" t="n">
        <v>0.85</v>
      </c>
      <c r="BA35" s="0" t="n">
        <v>0.5</v>
      </c>
      <c r="BB35" s="0">
        <f>ROUND((AX35/2*0.4+AY35/1.5*0.3+AZ35/1*0.2+BA35/0.5*0.1)*100,2)</f>
        <v/>
      </c>
      <c r="BC35" s="0">
        <f>ROUND(AC35+AH35+AI35+AL35+AQ35+AS35+AW35+(BB35/100*5),2)</f>
        <v/>
      </c>
      <c r="BD35" s="0">
        <f>IF(BC35&lt;=20,"极弱",IF(BC35&lt;=40,"偏弱",IF(BC35&lt;=60,"中等",IF(BC35&lt;=80,"较强","卓越"))))</f>
        <v/>
      </c>
      <c r="BH35" s="0" t="inlineStr">
        <is>
          <t>抖音/快手</t>
        </is>
      </c>
    </row>
    <row r="36">
      <c r="A36" s="0" t="n">
        <v>35</v>
      </c>
      <c r="B36" s="0" t="inlineStr">
        <is>
          <t>高冷老婆不圆房？朝廷鹰犬杀疯了</t>
        </is>
      </c>
      <c r="C36" s="0" t="inlineStr">
        <is>
          <t>/Users/mr.hu/Desktop/爆款排名/11.4日剧本/高冷老婆不圆房？朝廷鹰犬杀疯了.docx</t>
        </is>
      </c>
      <c r="E36" s="0" t="n">
        <v>27.03</v>
      </c>
      <c r="F36" s="0" t="n">
        <v>22</v>
      </c>
      <c r="G36" s="0">
        <f>IF(E36&lt;=8,"15–20集",IF(E36&lt;=20,"20–30集","30–40集"))</f>
        <v/>
      </c>
      <c r="H36" s="0" t="inlineStr">
        <is>
          <t>男频</t>
        </is>
      </c>
      <c r="I36" s="0" t="inlineStr">
        <is>
          <t>古代</t>
        </is>
      </c>
      <c r="J36" s="0" t="inlineStr">
        <is>
          <t>古代权谋/科举</t>
        </is>
      </c>
      <c r="K36" s="0" t="inlineStr">
        <is>
          <t>武侠动作</t>
        </is>
      </c>
      <c r="L36" s="0" t="n">
        <v>5</v>
      </c>
      <c r="M36" s="0" t="n">
        <v>4</v>
      </c>
      <c r="N36" s="0" t="inlineStr">
        <is>
          <t>男性/一二线/18–35</t>
        </is>
      </c>
      <c r="O36" s="0" t="inlineStr">
        <is>
          <t>周末黄金</t>
        </is>
      </c>
      <c r="P36" s="0" t="inlineStr">
        <is>
          <t>反转爽点</t>
        </is>
      </c>
      <c r="Q36" s="0" t="n">
        <v>3</v>
      </c>
      <c r="R36" s="0" t="n">
        <v>2</v>
      </c>
      <c r="S36" s="0" t="n">
        <v>3</v>
      </c>
      <c r="T36" s="0" t="n">
        <v>1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4</v>
      </c>
      <c r="AA36" s="0" t="n">
        <v>2</v>
      </c>
      <c r="AB36" s="0" t="n">
        <v>2</v>
      </c>
      <c r="AC36" s="0">
        <f>Y36+Z36+AA36+AB36</f>
        <v/>
      </c>
      <c r="AD36" s="0" t="n">
        <v>5</v>
      </c>
      <c r="AE36" s="0" t="n">
        <v>3</v>
      </c>
      <c r="AF36" s="0" t="n">
        <v>2</v>
      </c>
      <c r="AG36" s="0" t="n">
        <v>1</v>
      </c>
      <c r="AH36" s="0">
        <f>AD36+AE36+AF36+AG36</f>
        <v/>
      </c>
      <c r="AI36" s="0">
        <f>Q36+R36+S36+T36</f>
        <v/>
      </c>
      <c r="AJ36" s="0" t="n">
        <v>3</v>
      </c>
      <c r="AK36" s="0">
        <f>=U36</f>
        <v/>
      </c>
      <c r="AL36" s="0">
        <f>AJ36+U36+V36+W36+X36</f>
        <v/>
      </c>
      <c r="AM36" s="0" t="n">
        <v>1.48</v>
      </c>
      <c r="AN36" s="0" t="n">
        <v>3.33</v>
      </c>
      <c r="AO36" s="0" t="n">
        <v>0</v>
      </c>
      <c r="AP36" s="0" t="n">
        <v>0</v>
      </c>
      <c r="AQ36" s="0">
        <f>ROUND((MIN(AM36,10)/10*8)+(MIN(AN36,10)/10*6)+(MIN(AO36,10)/10*4)+(MIN(AP36,10)/10*2),2)</f>
        <v/>
      </c>
      <c r="AR36" s="0">
        <f>=IF(AQ36&gt;=67,"高",IF(AQ36&gt;=34,"中","低"))</f>
        <v/>
      </c>
      <c r="AS36" s="0">
        <f>=MIN(15,L36+M36)</f>
        <v/>
      </c>
      <c r="AT36" s="0" t="n">
        <v>3</v>
      </c>
      <c r="AU36" s="0" t="n">
        <v>2</v>
      </c>
      <c r="AV36" s="0" t="n">
        <v>2</v>
      </c>
      <c r="AW36" s="0">
        <f>=MIN(10,AT36+AU36+AV36)</f>
        <v/>
      </c>
      <c r="AX36" s="0" t="n">
        <v>2</v>
      </c>
      <c r="AY36" s="0" t="n">
        <v>1.5</v>
      </c>
      <c r="AZ36" s="0" t="n">
        <v>0.6035714285714285</v>
      </c>
      <c r="BA36" s="0" t="n">
        <v>0.5</v>
      </c>
      <c r="BB36" s="0">
        <f>ROUND((AX36/2*0.4+AY36/1.5*0.3+AZ36/1*0.2+BA36/0.5*0.1)*100,2)</f>
        <v/>
      </c>
      <c r="BC36" s="0">
        <f>ROUND(AC36+AH36+AI36+AL36+AQ36+AS36+AW36+(BB36/100*5),2)</f>
        <v/>
      </c>
      <c r="BD36" s="0">
        <f>IF(BC36&lt;=20,"极弱",IF(BC36&lt;=40,"偏弱",IF(BC36&lt;=60,"中等",IF(BC36&lt;=80,"较强","卓越"))))</f>
        <v/>
      </c>
      <c r="BH36" s="0" t="inlineStr">
        <is>
          <t>抖音/快手</t>
        </is>
      </c>
    </row>
    <row r="37">
      <c r="A37" s="0" t="n">
        <v>36</v>
      </c>
      <c r="B37" s="0" t="inlineStr">
        <is>
          <t>魅力升满：从高中开始成男神</t>
        </is>
      </c>
      <c r="C37" s="0" t="inlineStr">
        <is>
          <t>/Users/mr.hu/Desktop/爆款排名/11.4日剧本/魅力升满：从高中开始成男神.docx</t>
        </is>
      </c>
      <c r="E37" s="0" t="n">
        <v>22.2</v>
      </c>
      <c r="F37" s="0" t="n">
        <v>18</v>
      </c>
      <c r="G37" s="0">
        <f>IF(E37&lt;=8,"15–20集",IF(E37&lt;=20,"20–30集","30–40集"))</f>
        <v/>
      </c>
      <c r="H37" s="0" t="inlineStr">
        <is>
          <t>男频</t>
        </is>
      </c>
      <c r="I37" s="0" t="inlineStr">
        <is>
          <t>科幻/奇幻</t>
        </is>
      </c>
      <c r="J37" s="0" t="inlineStr">
        <is>
          <t>职场/商战</t>
        </is>
      </c>
      <c r="K37" s="0" t="inlineStr">
        <is>
          <t>写实都市</t>
        </is>
      </c>
      <c r="L37" s="0" t="n">
        <v>6</v>
      </c>
      <c r="M37" s="0" t="n">
        <v>5</v>
      </c>
      <c r="N37" s="0" t="inlineStr">
        <is>
          <t>男性/一二线/45+</t>
        </is>
      </c>
      <c r="O37" s="0" t="inlineStr">
        <is>
          <t>周末黄金</t>
        </is>
      </c>
      <c r="P37" s="0" t="inlineStr">
        <is>
          <t>反转爽点</t>
        </is>
      </c>
      <c r="Q37" s="0" t="n">
        <v>1</v>
      </c>
      <c r="R37" s="0" t="n">
        <v>2</v>
      </c>
      <c r="S37" s="0" t="n">
        <v>3</v>
      </c>
      <c r="T37" s="0" t="n">
        <v>1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4</v>
      </c>
      <c r="AA37" s="0" t="n">
        <v>3</v>
      </c>
      <c r="AB37" s="0" t="n">
        <v>2</v>
      </c>
      <c r="AC37" s="0">
        <f>Y37+Z37+AA37+AB37</f>
        <v/>
      </c>
      <c r="AD37" s="0" t="n">
        <v>4</v>
      </c>
      <c r="AE37" s="0" t="n">
        <v>2</v>
      </c>
      <c r="AF37" s="0" t="n">
        <v>2</v>
      </c>
      <c r="AG37" s="0" t="n">
        <v>1</v>
      </c>
      <c r="AH37" s="0">
        <f>AD37+AE37+AF37+AG37</f>
        <v/>
      </c>
      <c r="AI37" s="0">
        <f>Q37+R37+S37+T37</f>
        <v/>
      </c>
      <c r="AJ37" s="0" t="n">
        <v>3</v>
      </c>
      <c r="AK37" s="0">
        <f>=U37</f>
        <v/>
      </c>
      <c r="AL37" s="0">
        <f>AJ37+U37+V37+W37+X37</f>
        <v/>
      </c>
      <c r="AM37" s="0" t="n">
        <v>0</v>
      </c>
      <c r="AN37" s="0" t="n">
        <v>0</v>
      </c>
      <c r="AO37" s="0" t="n">
        <v>0</v>
      </c>
      <c r="AP37" s="0" t="n">
        <v>72</v>
      </c>
      <c r="AQ37" s="0">
        <f>ROUND((MIN(AM37,10)/10*8)+(MIN(AN37,10)/10*6)+(MIN(AO37,10)/10*4)+(MIN(AP37,10)/10*2),2)</f>
        <v/>
      </c>
      <c r="AR37" s="0">
        <f>=IF(AQ37&gt;=67,"高",IF(AQ37&gt;=34,"中","低"))</f>
        <v/>
      </c>
      <c r="AS37" s="0">
        <f>=MIN(15,L37+M37)</f>
        <v/>
      </c>
      <c r="AT37" s="0" t="n">
        <v>3</v>
      </c>
      <c r="AU37" s="0" t="n">
        <v>2</v>
      </c>
      <c r="AV37" s="0" t="n">
        <v>2</v>
      </c>
      <c r="AW37" s="0">
        <f>=MIN(10,AT37+AU37+AV37)</f>
        <v/>
      </c>
      <c r="AX37" s="0" t="n">
        <v>2</v>
      </c>
      <c r="AY37" s="0" t="n">
        <v>1.5</v>
      </c>
      <c r="AZ37" s="0" t="n">
        <v>0.7357142857142858</v>
      </c>
      <c r="BA37" s="0" t="n">
        <v>0.5</v>
      </c>
      <c r="BB37" s="0">
        <f>ROUND((AX37/2*0.4+AY37/1.5*0.3+AZ37/1*0.2+BA37/0.5*0.1)*100,2)</f>
        <v/>
      </c>
      <c r="BC37" s="0">
        <f>ROUND(AC37+AH37+AI37+AL37+AQ37+AS37+AW37+(BB37/100*5),2)</f>
        <v/>
      </c>
      <c r="BD37" s="0">
        <f>IF(BC37&lt;=20,"极弱",IF(BC37&lt;=40,"偏弱",IF(BC37&lt;=60,"中等",IF(BC37&lt;=80,"较强","卓越"))))</f>
        <v/>
      </c>
      <c r="BH37" s="0" t="inlineStr">
        <is>
          <t>抖音/快手</t>
        </is>
      </c>
    </row>
    <row r="38">
      <c r="A38" s="0" t="n">
        <v>37</v>
      </c>
      <c r="B38" s="0" t="inlineStr">
        <is>
          <t>魔门送葬：开局被女帝逆推</t>
        </is>
      </c>
      <c r="C38" s="0" t="inlineStr">
        <is>
          <t>/Users/mr.hu/Desktop/爆款排名/11.4日剧本/魔门送葬：开局被女帝逆推.docx</t>
        </is>
      </c>
      <c r="E38" s="0" t="n">
        <v>25.86</v>
      </c>
      <c r="F38" s="0" t="n">
        <v>21</v>
      </c>
      <c r="G38" s="0">
        <f>IF(E38&lt;=8,"15–20集",IF(E38&lt;=20,"20–30集","30–40集"))</f>
        <v/>
      </c>
      <c r="H38" s="0" t="inlineStr">
        <is>
          <t>男频</t>
        </is>
      </c>
      <c r="I38" s="0" t="inlineStr">
        <is>
          <t>科幻/奇幻</t>
        </is>
      </c>
      <c r="J38" s="0" t="inlineStr">
        <is>
          <t>玄幻修仙</t>
        </is>
      </c>
      <c r="K38" s="0" t="inlineStr">
        <is>
          <t>武侠动作</t>
        </is>
      </c>
      <c r="L38" s="0" t="n">
        <v>5</v>
      </c>
      <c r="M38" s="0" t="n">
        <v>4</v>
      </c>
      <c r="N38" s="0" t="inlineStr">
        <is>
          <t>男性/一二线/45+</t>
        </is>
      </c>
      <c r="O38" s="0" t="inlineStr">
        <is>
          <t>节假日前后</t>
        </is>
      </c>
      <c r="P38" s="0" t="inlineStr">
        <is>
          <t>反转爽点</t>
        </is>
      </c>
      <c r="Q38" s="0" t="n">
        <v>3</v>
      </c>
      <c r="R38" s="0" t="n">
        <v>3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1</v>
      </c>
      <c r="Y38" s="0" t="n">
        <v>1</v>
      </c>
      <c r="Z38" s="0" t="n">
        <v>4</v>
      </c>
      <c r="AA38" s="0" t="n">
        <v>2</v>
      </c>
      <c r="AB38" s="0" t="n">
        <v>2</v>
      </c>
      <c r="AC38" s="0">
        <f>Y38+Z38+AA38+AB38</f>
        <v/>
      </c>
      <c r="AD38" s="0" t="n">
        <v>5</v>
      </c>
      <c r="AE38" s="0" t="n">
        <v>3</v>
      </c>
      <c r="AF38" s="0" t="n">
        <v>2</v>
      </c>
      <c r="AG38" s="0" t="n">
        <v>1</v>
      </c>
      <c r="AH38" s="0">
        <f>AD38+AE38+AF38+AG38</f>
        <v/>
      </c>
      <c r="AI38" s="0">
        <f>Q38+R38+S38+T38</f>
        <v/>
      </c>
      <c r="AJ38" s="0" t="n">
        <v>2</v>
      </c>
      <c r="AK38" s="0">
        <f>=U38</f>
        <v/>
      </c>
      <c r="AL38" s="0">
        <f>AJ38+U38+V38+W38+X38</f>
        <v/>
      </c>
      <c r="AM38" s="0" t="n">
        <v>3.87</v>
      </c>
      <c r="AN38" s="0" t="n">
        <v>1.16</v>
      </c>
      <c r="AO38" s="0" t="n">
        <v>0</v>
      </c>
      <c r="AP38" s="0" t="n">
        <v>12</v>
      </c>
      <c r="AQ38" s="0">
        <f>ROUND((MIN(AM38,10)/10*8)+(MIN(AN38,10)/10*6)+(MIN(AO38,10)/10*4)+(MIN(AP38,10)/10*2),2)</f>
        <v/>
      </c>
      <c r="AR38" s="0">
        <f>=IF(AQ38&gt;=67,"高",IF(AQ38&gt;=34,"中","低"))</f>
        <v/>
      </c>
      <c r="AS38" s="0">
        <f>=MIN(15,L38+M38)</f>
        <v/>
      </c>
      <c r="AT38" s="0" t="n">
        <v>3</v>
      </c>
      <c r="AU38" s="0" t="n">
        <v>2</v>
      </c>
      <c r="AV38" s="0" t="n">
        <v>2</v>
      </c>
      <c r="AW38" s="0">
        <f>=MIN(10,AT38+AU38+AV38)</f>
        <v/>
      </c>
      <c r="AX38" s="0" t="n">
        <v>2</v>
      </c>
      <c r="AY38" s="0" t="n">
        <v>0.8500000000000001</v>
      </c>
      <c r="AZ38" s="0" t="n">
        <v>0.6035714285714285</v>
      </c>
      <c r="BA38" s="0" t="n">
        <v>0.5</v>
      </c>
      <c r="BB38" s="0">
        <f>ROUND((AX38/2*0.4+AY38/1.5*0.3+AZ38/1*0.2+BA38/0.5*0.1)*100,2)</f>
        <v/>
      </c>
      <c r="BC38" s="0">
        <f>ROUND(AC38+AH38+AI38+AL38+AQ38+AS38+AW38+(BB38/100*5),2)</f>
        <v/>
      </c>
      <c r="BD38" s="0">
        <f>IF(BC38&lt;=20,"极弱",IF(BC38&lt;=40,"偏弱",IF(BC38&lt;=60,"中等",IF(BC38&lt;=80,"较强","卓越"))))</f>
        <v/>
      </c>
      <c r="BH38" s="0" t="inlineStr">
        <is>
          <t>抖音/快手</t>
        </is>
      </c>
    </row>
    <row r="39">
      <c r="A39" s="0" t="n">
        <v>38</v>
      </c>
      <c r="B39" s="0" t="inlineStr">
        <is>
          <t>下山退婚，逍遥神医</t>
        </is>
      </c>
      <c r="C39" s="0" t="inlineStr">
        <is>
          <t>/Users/mr.hu/Desktop/爆款排名/11.4日剧本/推荐/下山退婚，逍遥神医.docx</t>
        </is>
      </c>
      <c r="E39" s="0" t="n">
        <v>25.44</v>
      </c>
      <c r="F39" s="0" t="n">
        <v>21</v>
      </c>
      <c r="G39" s="0">
        <f>IF(E39&lt;=8,"15–20集",IF(E39&lt;=20,"20–30集","30–40集"))</f>
        <v/>
      </c>
      <c r="H39" s="0" t="inlineStr">
        <is>
          <t>女频</t>
        </is>
      </c>
      <c r="I39" s="0" t="inlineStr">
        <is>
          <t>科幻/奇幻</t>
        </is>
      </c>
      <c r="J39" s="0" t="inlineStr">
        <is>
          <t>职场/商战</t>
        </is>
      </c>
      <c r="K39" s="0" t="inlineStr">
        <is>
          <t>写实都市</t>
        </is>
      </c>
      <c r="L39" s="0" t="n">
        <v>5</v>
      </c>
      <c r="M39" s="0" t="n">
        <v>6</v>
      </c>
      <c r="N39" s="0" t="inlineStr">
        <is>
          <t>女性/下沉/18–35</t>
        </is>
      </c>
      <c r="O39" s="0" t="inlineStr">
        <is>
          <t>节假日前后</t>
        </is>
      </c>
      <c r="P39" s="0" t="inlineStr">
        <is>
          <t>反转爽点</t>
        </is>
      </c>
      <c r="Q39" s="0" t="n">
        <v>3</v>
      </c>
      <c r="R39" s="0" t="n">
        <v>3</v>
      </c>
      <c r="S39" s="0" t="n">
        <v>3</v>
      </c>
      <c r="T39" s="0" t="n">
        <v>1</v>
      </c>
      <c r="U39" s="0" t="n">
        <v>1</v>
      </c>
      <c r="V39" s="0" t="n">
        <v>2</v>
      </c>
      <c r="W39" s="0" t="n">
        <v>0</v>
      </c>
      <c r="X39" s="0" t="n">
        <v>1</v>
      </c>
      <c r="Y39" s="0" t="n">
        <v>6</v>
      </c>
      <c r="Z39" s="0" t="n">
        <v>4</v>
      </c>
      <c r="AA39" s="0" t="n">
        <v>3</v>
      </c>
      <c r="AB39" s="0" t="n">
        <v>2</v>
      </c>
      <c r="AC39" s="0">
        <f>Y39+Z39+AA39+AB39</f>
        <v/>
      </c>
      <c r="AD39" s="0" t="n">
        <v>5</v>
      </c>
      <c r="AE39" s="0" t="n">
        <v>4</v>
      </c>
      <c r="AF39" s="0" t="n">
        <v>2</v>
      </c>
      <c r="AG39" s="0" t="n">
        <v>1</v>
      </c>
      <c r="AH39" s="0">
        <f>AD39+AE39+AF39+AG39</f>
        <v/>
      </c>
      <c r="AI39" s="0">
        <f>Q39+R39+S39+T39</f>
        <v/>
      </c>
      <c r="AJ39" s="0" t="n">
        <v>3</v>
      </c>
      <c r="AK39" s="0">
        <f>=U39</f>
        <v/>
      </c>
      <c r="AL39" s="0">
        <f>AJ39+U39+V39+W39+X39</f>
        <v/>
      </c>
      <c r="AM39" s="0" t="n">
        <v>3.14</v>
      </c>
      <c r="AN39" s="0" t="n">
        <v>4.72</v>
      </c>
      <c r="AO39" s="0" t="n">
        <v>0</v>
      </c>
      <c r="AP39" s="0" t="n">
        <v>24</v>
      </c>
      <c r="AQ39" s="0">
        <f>ROUND((MIN(AM39,10)/10*8)+(MIN(AN39,10)/10*6)+(MIN(AO39,10)/10*4)+(MIN(AP39,10)/10*2),2)</f>
        <v/>
      </c>
      <c r="AR39" s="0">
        <f>=IF(AQ39&gt;=67,"高",IF(AQ39&gt;=34,"中","低"))</f>
        <v/>
      </c>
      <c r="AS39" s="0">
        <f>=MIN(15,L39+M39)</f>
        <v/>
      </c>
      <c r="AT39" s="0" t="n">
        <v>3</v>
      </c>
      <c r="AU39" s="0" t="n">
        <v>2</v>
      </c>
      <c r="AV39" s="0" t="n">
        <v>2</v>
      </c>
      <c r="AW39" s="0">
        <f>=MIN(10,AT39+AU39+AV39)</f>
        <v/>
      </c>
      <c r="AX39" s="0" t="n">
        <v>2</v>
      </c>
      <c r="AY39" s="0" t="n">
        <v>0.5</v>
      </c>
      <c r="AZ39" s="0" t="n">
        <v>0.7178571428571429</v>
      </c>
      <c r="BA39" s="0" t="n">
        <v>0.5</v>
      </c>
      <c r="BB39" s="0">
        <f>ROUND((AX39/2*0.4+AY39/1.5*0.3+AZ39/1*0.2+BA39/0.5*0.1)*100,2)</f>
        <v/>
      </c>
      <c r="BC39" s="0">
        <f>ROUND(AC39+AH39+AI39+AL39+AQ39+AS39+AW39+(BB39/100*5),2)</f>
        <v/>
      </c>
      <c r="BD39" s="0">
        <f>IF(BC39&lt;=20,"极弱",IF(BC39&lt;=40,"偏弱",IF(BC39&lt;=60,"中等",IF(BC39&lt;=80,"较强","卓越"))))</f>
        <v/>
      </c>
      <c r="BH39" s="0" t="inlineStr">
        <is>
          <t>视频号/快手</t>
        </is>
      </c>
    </row>
    <row r="40">
      <c r="A40" s="0" t="n">
        <v>39</v>
      </c>
      <c r="B40" s="0" t="inlineStr">
        <is>
          <t>八零神豪：从伪装海归开始</t>
        </is>
      </c>
      <c r="C40" s="0" t="inlineStr">
        <is>
          <t>/Users/mr.hu/Desktop/爆款排名/11.4日剧本/推荐/八零神豪：从伪装海归开始.docx</t>
        </is>
      </c>
      <c r="E40" s="0" t="n">
        <v>24.82</v>
      </c>
      <c r="F40" s="0" t="n">
        <v>20</v>
      </c>
      <c r="G40" s="0">
        <f>IF(E40&lt;=8,"15–20集",IF(E40&lt;=20,"20–30集","30–40集"))</f>
        <v/>
      </c>
      <c r="H40" s="0" t="inlineStr">
        <is>
          <t>男频</t>
        </is>
      </c>
      <c r="I40" s="0" t="inlineStr">
        <is>
          <t>科幻/奇幻</t>
        </is>
      </c>
      <c r="J40" s="0" t="inlineStr">
        <is>
          <t>职场/商战</t>
        </is>
      </c>
      <c r="K40" s="0" t="inlineStr">
        <is>
          <t>写实都市</t>
        </is>
      </c>
      <c r="L40" s="0" t="n">
        <v>6</v>
      </c>
      <c r="M40" s="0" t="n">
        <v>4</v>
      </c>
      <c r="N40" s="0" t="inlineStr">
        <is>
          <t>男性/下沉/18–35</t>
        </is>
      </c>
      <c r="O40" s="0" t="inlineStr">
        <is>
          <t>节假日前后</t>
        </is>
      </c>
      <c r="P40" s="0" t="inlineStr">
        <is>
          <t>反转爽点</t>
        </is>
      </c>
      <c r="Q40" s="0" t="n">
        <v>3</v>
      </c>
      <c r="R40" s="0" t="n">
        <v>3</v>
      </c>
      <c r="S40" s="0" t="n">
        <v>3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1</v>
      </c>
      <c r="Y40" s="0" t="n">
        <v>2</v>
      </c>
      <c r="Z40" s="0" t="n">
        <v>4</v>
      </c>
      <c r="AA40" s="0" t="n">
        <v>2</v>
      </c>
      <c r="AB40" s="0" t="n">
        <v>1</v>
      </c>
      <c r="AC40" s="0">
        <f>Y40+Z40+AA40+AB40</f>
        <v/>
      </c>
      <c r="AD40" s="0" t="n">
        <v>2</v>
      </c>
      <c r="AE40" s="0" t="n">
        <v>5</v>
      </c>
      <c r="AF40" s="0" t="n">
        <v>2</v>
      </c>
      <c r="AG40" s="0" t="n">
        <v>1</v>
      </c>
      <c r="AH40" s="0">
        <f>AD40+AE40+AF40+AG40</f>
        <v/>
      </c>
      <c r="AI40" s="0">
        <f>Q40+R40+S40+T40</f>
        <v/>
      </c>
      <c r="AJ40" s="0" t="n">
        <v>3</v>
      </c>
      <c r="AK40" s="0">
        <f>=U40</f>
        <v/>
      </c>
      <c r="AL40" s="0">
        <f>AJ40+U40+V40+W40+X40</f>
        <v/>
      </c>
      <c r="AM40" s="0" t="n">
        <v>0.8100000000000001</v>
      </c>
      <c r="AN40" s="0" t="n">
        <v>7.25</v>
      </c>
      <c r="AO40" s="0" t="n">
        <v>25</v>
      </c>
      <c r="AP40" s="0" t="n">
        <v>12</v>
      </c>
      <c r="AQ40" s="0">
        <f>ROUND((MIN(AM40,10)/10*8)+(MIN(AN40,10)/10*6)+(MIN(AO40,10)/10*4)+(MIN(AP40,10)/10*2),2)</f>
        <v/>
      </c>
      <c r="AR40" s="0">
        <f>=IF(AQ40&gt;=67,"高",IF(AQ40&gt;=34,"中","低"))</f>
        <v/>
      </c>
      <c r="AS40" s="0">
        <f>=MIN(15,L40+M40)</f>
        <v/>
      </c>
      <c r="AT40" s="0" t="n">
        <v>3</v>
      </c>
      <c r="AU40" s="0" t="n">
        <v>2</v>
      </c>
      <c r="AV40" s="0" t="n">
        <v>2</v>
      </c>
      <c r="AW40" s="0">
        <f>=MIN(10,AT40+AU40+AV40)</f>
        <v/>
      </c>
      <c r="AX40" s="0" t="n">
        <v>2</v>
      </c>
      <c r="AY40" s="0" t="n">
        <v>0.5</v>
      </c>
      <c r="AZ40" s="0" t="n">
        <v>0.6785714285714285</v>
      </c>
      <c r="BA40" s="0" t="n">
        <v>0.5</v>
      </c>
      <c r="BB40" s="0">
        <f>ROUND((AX40/2*0.4+AY40/1.5*0.3+AZ40/1*0.2+BA40/0.5*0.1)*100,2)</f>
        <v/>
      </c>
      <c r="BC40" s="0">
        <f>ROUND(AC40+AH40+AI40+AL40+AQ40+AS40+AW40+(BB40/100*5),2)</f>
        <v/>
      </c>
      <c r="BD40" s="0">
        <f>IF(BC40&lt;=20,"极弱",IF(BC40&lt;=40,"偏弱",IF(BC40&lt;=60,"中等",IF(BC40&lt;=80,"较强","卓越"))))</f>
        <v/>
      </c>
      <c r="BH40" s="0" t="inlineStr">
        <is>
          <t>视频号/快手</t>
        </is>
      </c>
    </row>
    <row r="41">
      <c r="A41" s="0" t="n">
        <v>40</v>
      </c>
      <c r="B41" s="0" t="inlineStr">
        <is>
          <t>别问卦金多少，你的厄运我全要</t>
        </is>
      </c>
      <c r="C41" s="0" t="inlineStr">
        <is>
          <t>/Users/mr.hu/Desktop/爆款排名/11.4日剧本/推荐/别问卦金多少，你的厄运我全要.docx</t>
        </is>
      </c>
      <c r="E41" s="0" t="n">
        <v>27.12</v>
      </c>
      <c r="F41" s="0" t="n">
        <v>22</v>
      </c>
      <c r="G41" s="0">
        <f>IF(E41&lt;=8,"15–20集",IF(E41&lt;=20,"20–30集","30–40集"))</f>
        <v/>
      </c>
      <c r="H41" s="0" t="inlineStr">
        <is>
          <t>女频</t>
        </is>
      </c>
      <c r="I41" s="0" t="inlineStr">
        <is>
          <t>古代</t>
        </is>
      </c>
      <c r="J41" s="0" t="inlineStr">
        <is>
          <t>玄幻修仙</t>
        </is>
      </c>
      <c r="K41" s="0" t="inlineStr">
        <is>
          <t>古装群像</t>
        </is>
      </c>
      <c r="L41" s="0" t="n">
        <v>4</v>
      </c>
      <c r="M41" s="0" t="n">
        <v>7</v>
      </c>
      <c r="N41" s="0" t="inlineStr">
        <is>
          <t>女性/下沉/18–35</t>
        </is>
      </c>
      <c r="O41" s="0" t="inlineStr">
        <is>
          <t>周末黄金</t>
        </is>
      </c>
      <c r="P41" s="0" t="inlineStr">
        <is>
          <t>反转爽点</t>
        </is>
      </c>
      <c r="Q41" s="0" t="n">
        <v>3</v>
      </c>
      <c r="R41" s="0" t="n">
        <v>3</v>
      </c>
      <c r="S41" s="0" t="n">
        <v>1</v>
      </c>
      <c r="T41" s="0" t="n">
        <v>1</v>
      </c>
      <c r="U41" s="0" t="n">
        <v>1</v>
      </c>
      <c r="V41" s="0" t="n">
        <v>2</v>
      </c>
      <c r="W41" s="0" t="n">
        <v>1</v>
      </c>
      <c r="X41" s="0" t="n">
        <v>1</v>
      </c>
      <c r="Y41" s="0" t="n">
        <v>3</v>
      </c>
      <c r="Z41" s="0" t="n">
        <v>4</v>
      </c>
      <c r="AA41" s="0" t="n">
        <v>2</v>
      </c>
      <c r="AB41" s="0" t="n">
        <v>2</v>
      </c>
      <c r="AC41" s="0">
        <f>Y41+Z41+AA41+AB41</f>
        <v/>
      </c>
      <c r="AD41" s="0" t="n">
        <v>4</v>
      </c>
      <c r="AE41" s="0" t="n">
        <v>5</v>
      </c>
      <c r="AF41" s="0" t="n">
        <v>2</v>
      </c>
      <c r="AG41" s="0" t="n">
        <v>1</v>
      </c>
      <c r="AH41" s="0">
        <f>AD41+AE41+AF41+AG41</f>
        <v/>
      </c>
      <c r="AI41" s="0">
        <f>Q41+R41+S41+T41</f>
        <v/>
      </c>
      <c r="AJ41" s="0" t="n">
        <v>3</v>
      </c>
      <c r="AK41" s="0">
        <f>=U41</f>
        <v/>
      </c>
      <c r="AL41" s="0">
        <f>AJ41+U41+V41+W41+X41</f>
        <v/>
      </c>
      <c r="AM41" s="0" t="n">
        <v>0.74</v>
      </c>
      <c r="AN41" s="0" t="n">
        <v>8.85</v>
      </c>
      <c r="AO41" s="0" t="n">
        <v>25</v>
      </c>
      <c r="AP41" s="0" t="n">
        <v>0</v>
      </c>
      <c r="AQ41" s="0">
        <f>ROUND((MIN(AM41,10)/10*8)+(MIN(AN41,10)/10*6)+(MIN(AO41,10)/10*4)+(MIN(AP41,10)/10*2),2)</f>
        <v/>
      </c>
      <c r="AR41" s="0">
        <f>=IF(AQ41&gt;=67,"高",IF(AQ41&gt;=34,"中","低"))</f>
        <v/>
      </c>
      <c r="AS41" s="0">
        <f>=MIN(15,L41+M41)</f>
        <v/>
      </c>
      <c r="AT41" s="0" t="n">
        <v>2</v>
      </c>
      <c r="AU41" s="0" t="n">
        <v>2</v>
      </c>
      <c r="AV41" s="0" t="n">
        <v>2</v>
      </c>
      <c r="AW41" s="0">
        <f>=MIN(10,AT41+AU41+AV41)</f>
        <v/>
      </c>
      <c r="AX41" s="0" t="n">
        <v>1</v>
      </c>
      <c r="AY41" s="0" t="n">
        <v>1.5</v>
      </c>
      <c r="AZ41" s="0" t="n">
        <v>0.7</v>
      </c>
      <c r="BA41" s="0" t="n">
        <v>0.5</v>
      </c>
      <c r="BB41" s="0">
        <f>ROUND((AX41/2*0.4+AY41/1.5*0.3+AZ41/1*0.2+BA41/0.5*0.1)*100,2)</f>
        <v/>
      </c>
      <c r="BC41" s="0">
        <f>ROUND(AC41+AH41+AI41+AL41+AQ41+AS41+AW41+(BB41/100*5),2)</f>
        <v/>
      </c>
      <c r="BD41" s="0">
        <f>IF(BC41&lt;=20,"极弱",IF(BC41&lt;=40,"偏弱",IF(BC41&lt;=60,"中等",IF(BC41&lt;=80,"较强","卓越"))))</f>
        <v/>
      </c>
      <c r="BH41" s="0" t="inlineStr">
        <is>
          <t>视频号/快手</t>
        </is>
      </c>
    </row>
    <row r="42">
      <c r="A42" s="0" t="n">
        <v>41</v>
      </c>
      <c r="B42" s="0" t="inlineStr">
        <is>
          <t>我就是凡人，真不是神仙！</t>
        </is>
      </c>
      <c r="C42" s="0" t="inlineStr">
        <is>
          <t>/Users/mr.hu/Desktop/爆款排名/11.4日剧本/推荐/我就是凡人，真不是神仙！.docx</t>
        </is>
      </c>
      <c r="E42" s="0" t="n">
        <v>20.74</v>
      </c>
      <c r="F42" s="0" t="n">
        <v>17</v>
      </c>
      <c r="G42" s="0">
        <f>IF(E42&lt;=8,"15–20集",IF(E42&lt;=20,"20–30集","30–40集"))</f>
        <v/>
      </c>
      <c r="H42" s="0" t="inlineStr">
        <is>
          <t>男频</t>
        </is>
      </c>
      <c r="I42" s="0" t="inlineStr">
        <is>
          <t>科幻/奇幻</t>
        </is>
      </c>
      <c r="J42" s="0" t="inlineStr">
        <is>
          <t>乡村/三农</t>
        </is>
      </c>
      <c r="K42" s="0" t="inlineStr">
        <is>
          <t>商业爽剧</t>
        </is>
      </c>
      <c r="L42" s="0" t="n">
        <v>5</v>
      </c>
      <c r="M42" s="0" t="n">
        <v>7</v>
      </c>
      <c r="N42" s="0" t="inlineStr">
        <is>
          <t>男性/下沉/18–35</t>
        </is>
      </c>
      <c r="O42" s="0" t="inlineStr">
        <is>
          <t>周末黄金</t>
        </is>
      </c>
      <c r="P42" s="0" t="inlineStr">
        <is>
          <t>反转爽点</t>
        </is>
      </c>
      <c r="Q42" s="0" t="n">
        <v>3</v>
      </c>
      <c r="R42" s="0" t="n">
        <v>3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1</v>
      </c>
      <c r="Y42" s="0" t="n">
        <v>0</v>
      </c>
      <c r="Z42" s="0" t="n">
        <v>4</v>
      </c>
      <c r="AA42" s="0" t="n">
        <v>2</v>
      </c>
      <c r="AB42" s="0" t="n">
        <v>2</v>
      </c>
      <c r="AC42" s="0">
        <f>Y42+Z42+AA42+AB42</f>
        <v/>
      </c>
      <c r="AD42" s="0" t="n">
        <v>1</v>
      </c>
      <c r="AE42" s="0" t="n">
        <v>5</v>
      </c>
      <c r="AF42" s="0" t="n">
        <v>2</v>
      </c>
      <c r="AG42" s="0" t="n">
        <v>1</v>
      </c>
      <c r="AH42" s="0">
        <f>AD42+AE42+AF42+AG42</f>
        <v/>
      </c>
      <c r="AI42" s="0">
        <f>Q42+R42+S42+T42</f>
        <v/>
      </c>
      <c r="AJ42" s="0" t="n">
        <v>2</v>
      </c>
      <c r="AK42" s="0">
        <f>=U42</f>
        <v/>
      </c>
      <c r="AL42" s="0">
        <f>AJ42+U42+V42+W42+X42</f>
        <v/>
      </c>
      <c r="AM42" s="0" t="n">
        <v>0.96</v>
      </c>
      <c r="AN42" s="0" t="n">
        <v>14.46</v>
      </c>
      <c r="AO42" s="0" t="n">
        <v>0</v>
      </c>
      <c r="AP42" s="0" t="n">
        <v>12</v>
      </c>
      <c r="AQ42" s="0">
        <f>ROUND((MIN(AM42,10)/10*8)+(MIN(AN42,10)/10*6)+(MIN(AO42,10)/10*4)+(MIN(AP42,10)/10*2),2)</f>
        <v/>
      </c>
      <c r="AR42" s="0">
        <f>=IF(AQ42&gt;=67,"高",IF(AQ42&gt;=34,"中","低"))</f>
        <v/>
      </c>
      <c r="AS42" s="0">
        <f>=MIN(15,L42+M42)</f>
        <v/>
      </c>
      <c r="AT42" s="0" t="n">
        <v>3</v>
      </c>
      <c r="AU42" s="0" t="n">
        <v>2</v>
      </c>
      <c r="AV42" s="0" t="n">
        <v>2</v>
      </c>
      <c r="AW42" s="0">
        <f>=MIN(10,AT42+AU42+AV42)</f>
        <v/>
      </c>
      <c r="AX42" s="0" t="n">
        <v>2</v>
      </c>
      <c r="AY42" s="0" t="n">
        <v>1.5</v>
      </c>
      <c r="AZ42" s="0" t="n">
        <v>0.775</v>
      </c>
      <c r="BA42" s="0" t="n">
        <v>0.5</v>
      </c>
      <c r="BB42" s="0">
        <f>ROUND((AX42/2*0.4+AY42/1.5*0.3+AZ42/1*0.2+BA42/0.5*0.1)*100,2)</f>
        <v/>
      </c>
      <c r="BC42" s="0">
        <f>ROUND(AC42+AH42+AI42+AL42+AQ42+AS42+AW42+(BB42/100*5),2)</f>
        <v/>
      </c>
      <c r="BD42" s="0">
        <f>IF(BC42&lt;=20,"极弱",IF(BC42&lt;=40,"偏弱",IF(BC42&lt;=60,"中等",IF(BC42&lt;=80,"较强","卓越"))))</f>
        <v/>
      </c>
      <c r="BH42" s="0" t="inlineStr">
        <is>
          <t>视频号/快手</t>
        </is>
      </c>
    </row>
    <row r="43">
      <c r="A43" s="0" t="n">
        <v>42</v>
      </c>
      <c r="B43" s="0" t="inlineStr">
        <is>
          <t>无双国医！</t>
        </is>
      </c>
      <c r="C43" s="0" t="inlineStr">
        <is>
          <t>/Users/mr.hu/Desktop/爆款排名/11.4日剧本/推荐/无双国医！.docx</t>
        </is>
      </c>
      <c r="E43" s="0" t="n">
        <v>27.52</v>
      </c>
      <c r="F43" s="0" t="n">
        <v>22</v>
      </c>
      <c r="G43" s="0">
        <f>IF(E43&lt;=8,"15–20集",IF(E43&lt;=20,"20–30集","30–40集"))</f>
        <v/>
      </c>
      <c r="H43" s="0" t="inlineStr">
        <is>
          <t>男频</t>
        </is>
      </c>
      <c r="I43" s="0" t="inlineStr">
        <is>
          <t>古代</t>
        </is>
      </c>
      <c r="J43" s="0" t="inlineStr">
        <is>
          <t>职场/商战</t>
        </is>
      </c>
      <c r="K43" s="0" t="inlineStr">
        <is>
          <t>古装群像</t>
        </is>
      </c>
      <c r="L43" s="0" t="n">
        <v>5</v>
      </c>
      <c r="M43" s="0" t="n">
        <v>4</v>
      </c>
      <c r="N43" s="0" t="inlineStr">
        <is>
          <t>男性/下沉/45+</t>
        </is>
      </c>
      <c r="O43" s="0" t="inlineStr">
        <is>
          <t>周末黄金</t>
        </is>
      </c>
      <c r="P43" s="0" t="inlineStr">
        <is>
          <t>反转爽点</t>
        </is>
      </c>
      <c r="Q43" s="0" t="n">
        <v>3</v>
      </c>
      <c r="R43" s="0" t="n">
        <v>3</v>
      </c>
      <c r="S43" s="0" t="n">
        <v>3</v>
      </c>
      <c r="T43" s="0" t="n">
        <v>1</v>
      </c>
      <c r="U43" s="0" t="n">
        <v>3</v>
      </c>
      <c r="V43" s="0" t="n">
        <v>2</v>
      </c>
      <c r="W43" s="0" t="n">
        <v>1</v>
      </c>
      <c r="X43" s="0" t="n">
        <v>1</v>
      </c>
      <c r="Y43" s="0" t="n">
        <v>2</v>
      </c>
      <c r="Z43" s="0" t="n">
        <v>4</v>
      </c>
      <c r="AA43" s="0" t="n">
        <v>2</v>
      </c>
      <c r="AB43" s="0" t="n">
        <v>2</v>
      </c>
      <c r="AC43" s="0">
        <f>Y43+Z43+AA43+AB43</f>
        <v/>
      </c>
      <c r="AD43" s="0" t="n">
        <v>4</v>
      </c>
      <c r="AE43" s="0" t="n">
        <v>3</v>
      </c>
      <c r="AF43" s="0" t="n">
        <v>2</v>
      </c>
      <c r="AG43" s="0" t="n">
        <v>0</v>
      </c>
      <c r="AH43" s="0">
        <f>AD43+AE43+AF43+AG43</f>
        <v/>
      </c>
      <c r="AI43" s="0">
        <f>Q43+R43+S43+T43</f>
        <v/>
      </c>
      <c r="AJ43" s="0" t="n">
        <v>3</v>
      </c>
      <c r="AK43" s="0">
        <f>=U43</f>
        <v/>
      </c>
      <c r="AL43" s="0">
        <f>AJ43+U43+V43+W43+X43</f>
        <v/>
      </c>
      <c r="AM43" s="0" t="n">
        <v>4.36</v>
      </c>
      <c r="AN43" s="0" t="n">
        <v>1.09</v>
      </c>
      <c r="AO43" s="0" t="n">
        <v>0</v>
      </c>
      <c r="AP43" s="0" t="n">
        <v>48</v>
      </c>
      <c r="AQ43" s="0">
        <f>ROUND((MIN(AM43,10)/10*8)+(MIN(AN43,10)/10*6)+(MIN(AO43,10)/10*4)+(MIN(AP43,10)/10*2),2)</f>
        <v/>
      </c>
      <c r="AR43" s="0">
        <f>=IF(AQ43&gt;=67,"高",IF(AQ43&gt;=34,"中","低"))</f>
        <v/>
      </c>
      <c r="AS43" s="0">
        <f>=MIN(15,L43+M43)</f>
        <v/>
      </c>
      <c r="AT43" s="0" t="n">
        <v>3</v>
      </c>
      <c r="AU43" s="0" t="n">
        <v>2</v>
      </c>
      <c r="AV43" s="0" t="n">
        <v>3</v>
      </c>
      <c r="AW43" s="0">
        <f>=MIN(10,AT43+AU43+AV43)</f>
        <v/>
      </c>
      <c r="AX43" s="0" t="n">
        <v>2</v>
      </c>
      <c r="AY43" s="0" t="n">
        <v>0.5</v>
      </c>
      <c r="AZ43" s="0" t="n">
        <v>0.6035714285714285</v>
      </c>
      <c r="BA43" s="0" t="n">
        <v>0.5</v>
      </c>
      <c r="BB43" s="0">
        <f>ROUND((AX43/2*0.4+AY43/1.5*0.3+AZ43/1*0.2+BA43/0.5*0.1)*100,2)</f>
        <v/>
      </c>
      <c r="BC43" s="0">
        <f>ROUND(AC43+AH43+AI43+AL43+AQ43+AS43+AW43+(BB43/100*5),2)</f>
        <v/>
      </c>
      <c r="BD43" s="0">
        <f>IF(BC43&lt;=20,"极弱",IF(BC43&lt;=40,"偏弱",IF(BC43&lt;=60,"中等",IF(BC43&lt;=80,"较强","卓越"))))</f>
        <v/>
      </c>
      <c r="BH43" s="0" t="inlineStr">
        <is>
          <t>视频号/快手</t>
        </is>
      </c>
    </row>
    <row r="44">
      <c r="A44" s="0" t="n">
        <v>43</v>
      </c>
      <c r="B44" s="0" t="inlineStr">
        <is>
          <t>神级系统：我的智商能充值</t>
        </is>
      </c>
      <c r="C44" s="0" t="inlineStr">
        <is>
          <t>/Users/mr.hu/Desktop/爆款排名/11.4日剧本/推荐/神级系统：我的智商能充值.docx</t>
        </is>
      </c>
      <c r="E44" s="0" t="n">
        <v>22.83</v>
      </c>
      <c r="F44" s="0" t="n">
        <v>19</v>
      </c>
      <c r="G44" s="0">
        <f>IF(E44&lt;=8,"15–20集",IF(E44&lt;=20,"20–30集","30–40集"))</f>
        <v/>
      </c>
      <c r="H44" s="0" t="inlineStr">
        <is>
          <t>男频</t>
        </is>
      </c>
      <c r="I44" s="0" t="inlineStr">
        <is>
          <t>科幻/奇幻</t>
        </is>
      </c>
      <c r="J44" s="0" t="inlineStr">
        <is>
          <t>家庭/婚恋</t>
        </is>
      </c>
      <c r="K44" s="0" t="inlineStr">
        <is>
          <t>商业爽剧</t>
        </is>
      </c>
      <c r="L44" s="0" t="n">
        <v>6</v>
      </c>
      <c r="M44" s="0" t="n">
        <v>5</v>
      </c>
      <c r="N44" s="0" t="inlineStr">
        <is>
          <t>男性/一二线/18–35</t>
        </is>
      </c>
      <c r="O44" s="0" t="inlineStr">
        <is>
          <t>周末黄金</t>
        </is>
      </c>
      <c r="P44" s="0" t="inlineStr">
        <is>
          <t>反转爽点</t>
        </is>
      </c>
      <c r="Q44" s="0" t="n">
        <v>3</v>
      </c>
      <c r="R44" s="0" t="n">
        <v>3</v>
      </c>
      <c r="S44" s="0" t="n">
        <v>0</v>
      </c>
      <c r="T44" s="0" t="n">
        <v>1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4</v>
      </c>
      <c r="AA44" s="0" t="n">
        <v>2</v>
      </c>
      <c r="AB44" s="0" t="n">
        <v>2</v>
      </c>
      <c r="AC44" s="0">
        <f>Y44+Z44+AA44+AB44</f>
        <v/>
      </c>
      <c r="AD44" s="0" t="n">
        <v>5</v>
      </c>
      <c r="AE44" s="0" t="n">
        <v>5</v>
      </c>
      <c r="AF44" s="0" t="n">
        <v>2</v>
      </c>
      <c r="AG44" s="0" t="n">
        <v>0</v>
      </c>
      <c r="AH44" s="0">
        <f>AD44+AE44+AF44+AG44</f>
        <v/>
      </c>
      <c r="AI44" s="0">
        <f>Q44+R44+S44+T44</f>
        <v/>
      </c>
      <c r="AJ44" s="0" t="n">
        <v>2</v>
      </c>
      <c r="AK44" s="0">
        <f>=U44</f>
        <v/>
      </c>
      <c r="AL44" s="0">
        <f>AJ44+U44+V44+W44+X44</f>
        <v/>
      </c>
      <c r="AM44" s="0" t="n">
        <v>0</v>
      </c>
      <c r="AN44" s="0" t="n">
        <v>9.199999999999999</v>
      </c>
      <c r="AO44" s="0" t="n">
        <v>0</v>
      </c>
      <c r="AP44" s="0" t="n">
        <v>12</v>
      </c>
      <c r="AQ44" s="0">
        <f>ROUND((MIN(AM44,10)/10*8)+(MIN(AN44,10)/10*6)+(MIN(AO44,10)/10*4)+(MIN(AP44,10)/10*2),2)</f>
        <v/>
      </c>
      <c r="AR44" s="0">
        <f>=IF(AQ44&gt;=67,"高",IF(AQ44&gt;=34,"中","低"))</f>
        <v/>
      </c>
      <c r="AS44" s="0">
        <f>=MIN(15,L44+M44)</f>
        <v/>
      </c>
      <c r="AT44" s="0" t="n">
        <v>3</v>
      </c>
      <c r="AU44" s="0" t="n">
        <v>2</v>
      </c>
      <c r="AV44" s="0" t="n">
        <v>2</v>
      </c>
      <c r="AW44" s="0">
        <f>=MIN(10,AT44+AU44+AV44)</f>
        <v/>
      </c>
      <c r="AX44" s="0" t="n">
        <v>2</v>
      </c>
      <c r="AY44" s="0" t="n">
        <v>0.5</v>
      </c>
      <c r="AZ44" s="0" t="n">
        <v>0.7357142857142858</v>
      </c>
      <c r="BA44" s="0" t="n">
        <v>0.5</v>
      </c>
      <c r="BB44" s="0">
        <f>ROUND((AX44/2*0.4+AY44/1.5*0.3+AZ44/1*0.2+BA44/0.5*0.1)*100,2)</f>
        <v/>
      </c>
      <c r="BC44" s="0">
        <f>ROUND(AC44+AH44+AI44+AL44+AQ44+AS44+AW44+(BB44/100*5),2)</f>
        <v/>
      </c>
      <c r="BD44" s="0">
        <f>IF(BC44&lt;=20,"极弱",IF(BC44&lt;=40,"偏弱",IF(BC44&lt;=60,"中等",IF(BC44&lt;=80,"较强","卓越"))))</f>
        <v/>
      </c>
      <c r="BH44" s="0" t="inlineStr">
        <is>
          <t>抖音/快手</t>
        </is>
      </c>
    </row>
    <row r="45">
      <c r="A45" s="0" t="n">
        <v>44</v>
      </c>
      <c r="B45" s="0" t="inlineStr">
        <is>
          <t>重生高考后，暑假实现财务自由</t>
        </is>
      </c>
      <c r="C45" s="0" t="inlineStr">
        <is>
          <t>/Users/mr.hu/Desktop/爆款排名/11.4日剧本/推荐/重生高考后，暑假实现财务自由.docx</t>
        </is>
      </c>
      <c r="E45" s="0" t="n">
        <v>25.2</v>
      </c>
      <c r="F45" s="0" t="n">
        <v>20</v>
      </c>
      <c r="G45" s="0">
        <f>IF(E45&lt;=8,"15–20集",IF(E45&lt;=20,"20–30集","30–40集"))</f>
        <v/>
      </c>
      <c r="H45" s="0" t="inlineStr">
        <is>
          <t>男频</t>
        </is>
      </c>
      <c r="I45" s="0" t="inlineStr">
        <is>
          <t>科幻/奇幻</t>
        </is>
      </c>
      <c r="J45" s="0" t="inlineStr">
        <is>
          <t>职场/商战</t>
        </is>
      </c>
      <c r="K45" s="0" t="inlineStr">
        <is>
          <t>写实都市</t>
        </is>
      </c>
      <c r="L45" s="0" t="n">
        <v>4</v>
      </c>
      <c r="M45" s="0" t="n">
        <v>6</v>
      </c>
      <c r="N45" s="0" t="inlineStr">
        <is>
          <t>男性/一二线/45+</t>
        </is>
      </c>
      <c r="O45" s="0" t="inlineStr">
        <is>
          <t>节假日前后</t>
        </is>
      </c>
      <c r="P45" s="0" t="inlineStr">
        <is>
          <t>反转爽点</t>
        </is>
      </c>
      <c r="Q45" s="0" t="n">
        <v>3</v>
      </c>
      <c r="R45" s="0" t="n">
        <v>2</v>
      </c>
      <c r="S45" s="0" t="n">
        <v>1</v>
      </c>
      <c r="T45" s="0" t="n">
        <v>1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6</v>
      </c>
      <c r="Z45" s="0" t="n">
        <v>4</v>
      </c>
      <c r="AA45" s="0" t="n">
        <v>2</v>
      </c>
      <c r="AB45" s="0" t="n">
        <v>2</v>
      </c>
      <c r="AC45" s="0">
        <f>Y45+Z45+AA45+AB45</f>
        <v/>
      </c>
      <c r="AD45" s="0" t="n">
        <v>4</v>
      </c>
      <c r="AE45" s="0" t="n">
        <v>6</v>
      </c>
      <c r="AF45" s="0" t="n">
        <v>2</v>
      </c>
      <c r="AG45" s="0" t="n">
        <v>1</v>
      </c>
      <c r="AH45" s="0">
        <f>AD45+AE45+AF45+AG45</f>
        <v/>
      </c>
      <c r="AI45" s="0">
        <f>Q45+R45+S45+T45</f>
        <v/>
      </c>
      <c r="AJ45" s="0" t="n">
        <v>3</v>
      </c>
      <c r="AK45" s="0">
        <f>=U45</f>
        <v/>
      </c>
      <c r="AL45" s="0">
        <f>AJ45+U45+V45+W45+X45</f>
        <v/>
      </c>
      <c r="AM45" s="0" t="n">
        <v>0</v>
      </c>
      <c r="AN45" s="0" t="n">
        <v>78.58</v>
      </c>
      <c r="AO45" s="0" t="n">
        <v>0</v>
      </c>
      <c r="AP45" s="0" t="n">
        <v>24</v>
      </c>
      <c r="AQ45" s="0">
        <f>ROUND((MIN(AM45,10)/10*8)+(MIN(AN45,10)/10*6)+(MIN(AO45,10)/10*4)+(MIN(AP45,10)/10*2),2)</f>
        <v/>
      </c>
      <c r="AR45" s="0">
        <f>=IF(AQ45&gt;=67,"高",IF(AQ45&gt;=34,"中","低"))</f>
        <v/>
      </c>
      <c r="AS45" s="0">
        <f>=MIN(15,L45+M45)</f>
        <v/>
      </c>
      <c r="AT45" s="0" t="n">
        <v>3</v>
      </c>
      <c r="AU45" s="0" t="n">
        <v>2</v>
      </c>
      <c r="AV45" s="0" t="n">
        <v>2</v>
      </c>
      <c r="AW45" s="0">
        <f>=MIN(10,AT45+AU45+AV45)</f>
        <v/>
      </c>
      <c r="AX45" s="0" t="n">
        <v>2</v>
      </c>
      <c r="AY45" s="0" t="n">
        <v>0.8</v>
      </c>
      <c r="AZ45" s="0" t="n">
        <v>0.6428571428571428</v>
      </c>
      <c r="BA45" s="0" t="n">
        <v>0.5</v>
      </c>
      <c r="BB45" s="0">
        <f>ROUND((AX45/2*0.4+AY45/1.5*0.3+AZ45/1*0.2+BA45/0.5*0.1)*100,2)</f>
        <v/>
      </c>
      <c r="BC45" s="0">
        <f>ROUND(AC45+AH45+AI45+AL45+AQ45+AS45+AW45+(BB45/100*5),2)</f>
        <v/>
      </c>
      <c r="BD45" s="0">
        <f>IF(BC45&lt;=20,"极弱",IF(BC45&lt;=40,"偏弱",IF(BC45&lt;=60,"中等",IF(BC45&lt;=80,"较强","卓越"))))</f>
        <v/>
      </c>
      <c r="BH45" s="0" t="inlineStr">
        <is>
          <t>抖音/快手</t>
        </is>
      </c>
    </row>
    <row r="46">
      <c r="A46" s="0" t="n">
        <v>45</v>
      </c>
      <c r="B46" s="0" t="inlineStr">
        <is>
          <t>钱后的亲情泪</t>
        </is>
      </c>
      <c r="C46" s="0" t="inlineStr">
        <is>
          <t>/Users/mr.hu/Desktop/爆款排名/11.4日剧本/推荐/钱后的亲情泪.docx</t>
        </is>
      </c>
      <c r="E46" s="0" t="n">
        <v>20.84</v>
      </c>
      <c r="F46" s="0" t="n">
        <v>17</v>
      </c>
      <c r="G46" s="0">
        <f>IF(E46&lt;=8,"15–20集",IF(E46&lt;=20,"20–30集","30–40集"))</f>
        <v/>
      </c>
      <c r="H46" s="0" t="inlineStr">
        <is>
          <t>女频</t>
        </is>
      </c>
      <c r="I46" s="0" t="inlineStr">
        <is>
          <t>现代</t>
        </is>
      </c>
      <c r="J46" s="0" t="inlineStr">
        <is>
          <t>职场/商战</t>
        </is>
      </c>
      <c r="K46" s="0" t="inlineStr">
        <is>
          <t>写实都市</t>
        </is>
      </c>
      <c r="L46" s="0" t="n">
        <v>8</v>
      </c>
      <c r="M46" s="0" t="n">
        <v>7</v>
      </c>
      <c r="N46" s="0" t="inlineStr">
        <is>
          <t>女性/下沉/18–35</t>
        </is>
      </c>
      <c r="O46" s="0" t="inlineStr">
        <is>
          <t>周末黄金</t>
        </is>
      </c>
      <c r="P46" s="0" t="inlineStr">
        <is>
          <t>反转爽点</t>
        </is>
      </c>
      <c r="Q46" s="0" t="n">
        <v>1</v>
      </c>
      <c r="R46" s="0" t="n">
        <v>3</v>
      </c>
      <c r="S46" s="0" t="n">
        <v>3</v>
      </c>
      <c r="T46" s="0" t="n">
        <v>1</v>
      </c>
      <c r="U46" s="0" t="n">
        <v>3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4</v>
      </c>
      <c r="AA46" s="0" t="n">
        <v>2</v>
      </c>
      <c r="AB46" s="0" t="n">
        <v>1</v>
      </c>
      <c r="AC46" s="0">
        <f>Y46+Z46+AA46+AB46</f>
        <v/>
      </c>
      <c r="AD46" s="0" t="n">
        <v>2</v>
      </c>
      <c r="AE46" s="0" t="n">
        <v>2</v>
      </c>
      <c r="AF46" s="0" t="n">
        <v>2</v>
      </c>
      <c r="AG46" s="0" t="n">
        <v>0</v>
      </c>
      <c r="AH46" s="0">
        <f>AD46+AE46+AF46+AG46</f>
        <v/>
      </c>
      <c r="AI46" s="0">
        <f>Q46+R46+S46+T46</f>
        <v/>
      </c>
      <c r="AJ46" s="0" t="n">
        <v>3</v>
      </c>
      <c r="AK46" s="0">
        <f>=U46</f>
        <v/>
      </c>
      <c r="AL46" s="0">
        <f>AJ46+U46+V46+W46+X46</f>
        <v/>
      </c>
      <c r="AM46" s="0" t="n">
        <v>0</v>
      </c>
      <c r="AN46" s="0" t="n">
        <v>0</v>
      </c>
      <c r="AO46" s="0" t="n">
        <v>25</v>
      </c>
      <c r="AP46" s="0" t="n">
        <v>0</v>
      </c>
      <c r="AQ46" s="0">
        <f>ROUND((MIN(AM46,10)/10*8)+(MIN(AN46,10)/10*6)+(MIN(AO46,10)/10*4)+(MIN(AP46,10)/10*2),2)</f>
        <v/>
      </c>
      <c r="AR46" s="0">
        <f>=IF(AQ46&gt;=67,"高",IF(AQ46&gt;=34,"中","低"))</f>
        <v/>
      </c>
      <c r="AS46" s="0">
        <f>=MIN(15,L46+M46)</f>
        <v/>
      </c>
      <c r="AT46" s="0" t="n">
        <v>2</v>
      </c>
      <c r="AU46" s="0" t="n">
        <v>2</v>
      </c>
      <c r="AV46" s="0" t="n">
        <v>2</v>
      </c>
      <c r="AW46" s="0">
        <f>=MIN(10,AT46+AU46+AV46)</f>
        <v/>
      </c>
      <c r="AX46" s="0" t="n">
        <v>2</v>
      </c>
      <c r="AY46" s="0" t="n">
        <v>1.5</v>
      </c>
      <c r="AZ46" s="0" t="n">
        <v>1</v>
      </c>
      <c r="BA46" s="0" t="n">
        <v>0.5</v>
      </c>
      <c r="BB46" s="0">
        <f>ROUND((AX46/2*0.4+AY46/1.5*0.3+AZ46/1*0.2+BA46/0.5*0.1)*100,2)</f>
        <v/>
      </c>
      <c r="BC46" s="0">
        <f>ROUND(AC46+AH46+AI46+AL46+AQ46+AS46+AW46+(BB46/100*5),2)</f>
        <v/>
      </c>
      <c r="BD46" s="0">
        <f>IF(BC46&lt;=20,"极弱",IF(BC46&lt;=40,"偏弱",IF(BC46&lt;=60,"中等",IF(BC46&lt;=80,"较强","卓越"))))</f>
        <v/>
      </c>
      <c r="BH46" s="0" t="inlineStr">
        <is>
          <t>视频号/快手</t>
        </is>
      </c>
    </row>
    <row r="47">
      <c r="A47" s="0" t="n">
        <v>46</v>
      </c>
      <c r="B47" s="0" t="inlineStr">
        <is>
          <t>10岁小包：穿越开封断断奇案</t>
        </is>
      </c>
      <c r="C47" s="0" t="inlineStr">
        <is>
          <t>/Users/mr.hu/Desktop/爆款排名/11.4日剧本/新建文件夹/10岁小包：穿越开封断断奇案.docx</t>
        </is>
      </c>
      <c r="E47" s="0" t="n">
        <v>26.17</v>
      </c>
      <c r="F47" s="0" t="n">
        <v>21</v>
      </c>
      <c r="G47" s="0">
        <f>IF(E47&lt;=8,"15–20集",IF(E47&lt;=20,"20–30集","30–40集"))</f>
        <v/>
      </c>
      <c r="H47" s="0" t="inlineStr">
        <is>
          <t>男频</t>
        </is>
      </c>
      <c r="I47" s="0" t="inlineStr">
        <is>
          <t>古代</t>
        </is>
      </c>
      <c r="J47" s="0" t="inlineStr">
        <is>
          <t>古代权谋/科举</t>
        </is>
      </c>
      <c r="K47" s="0" t="inlineStr">
        <is>
          <t>武侠动作</t>
        </is>
      </c>
      <c r="L47" s="0" t="n">
        <v>6</v>
      </c>
      <c r="M47" s="0" t="n">
        <v>5</v>
      </c>
      <c r="N47" s="0" t="inlineStr">
        <is>
          <t>男性/一二线/18–35</t>
        </is>
      </c>
      <c r="O47" s="0" t="inlineStr">
        <is>
          <t>工作日晚间</t>
        </is>
      </c>
      <c r="P47" s="0" t="inlineStr">
        <is>
          <t>反转爽点</t>
        </is>
      </c>
      <c r="Q47" s="0" t="n">
        <v>3</v>
      </c>
      <c r="R47" s="0" t="n">
        <v>3</v>
      </c>
      <c r="S47" s="0" t="n">
        <v>1</v>
      </c>
      <c r="T47" s="0" t="n">
        <v>1</v>
      </c>
      <c r="U47" s="0" t="n">
        <v>2</v>
      </c>
      <c r="V47" s="0" t="n">
        <v>2</v>
      </c>
      <c r="W47" s="0" t="n">
        <v>1</v>
      </c>
      <c r="X47" s="0" t="n">
        <v>1</v>
      </c>
      <c r="Y47" s="0" t="n">
        <v>6</v>
      </c>
      <c r="Z47" s="0" t="n">
        <v>4</v>
      </c>
      <c r="AA47" s="0" t="n">
        <v>2</v>
      </c>
      <c r="AB47" s="0" t="n">
        <v>2</v>
      </c>
      <c r="AC47" s="0">
        <f>Y47+Z47+AA47+AB47</f>
        <v/>
      </c>
      <c r="AD47" s="0" t="n">
        <v>5</v>
      </c>
      <c r="AE47" s="0" t="n">
        <v>6</v>
      </c>
      <c r="AF47" s="0" t="n">
        <v>2</v>
      </c>
      <c r="AG47" s="0" t="n">
        <v>0</v>
      </c>
      <c r="AH47" s="0">
        <f>AD47+AE47+AF47+AG47</f>
        <v/>
      </c>
      <c r="AI47" s="0">
        <f>Q47+R47+S47+T47</f>
        <v/>
      </c>
      <c r="AJ47" s="0" t="n">
        <v>3</v>
      </c>
      <c r="AK47" s="0">
        <f>=U47</f>
        <v/>
      </c>
      <c r="AL47" s="0">
        <f>AJ47+U47+V47+W47+X47</f>
        <v/>
      </c>
      <c r="AM47" s="0" t="n">
        <v>26.75</v>
      </c>
      <c r="AN47" s="0" t="n">
        <v>1.15</v>
      </c>
      <c r="AO47" s="0" t="n">
        <v>0</v>
      </c>
      <c r="AP47" s="0" t="n">
        <v>36</v>
      </c>
      <c r="AQ47" s="0">
        <f>ROUND((MIN(AM47,10)/10*8)+(MIN(AN47,10)/10*6)+(MIN(AO47,10)/10*4)+(MIN(AP47,10)/10*2),2)</f>
        <v/>
      </c>
      <c r="AR47" s="0">
        <f>=IF(AQ47&gt;=67,"高",IF(AQ47&gt;=34,"中","低"))</f>
        <v/>
      </c>
      <c r="AS47" s="0">
        <f>=MIN(15,L47+M47)</f>
        <v/>
      </c>
      <c r="AT47" s="0" t="n">
        <v>2</v>
      </c>
      <c r="AU47" s="0" t="n">
        <v>3</v>
      </c>
      <c r="AV47" s="0" t="n">
        <v>3</v>
      </c>
      <c r="AW47" s="0">
        <f>=MIN(10,AT47+AU47+AV47)</f>
        <v/>
      </c>
      <c r="AX47" s="0" t="n">
        <v>1</v>
      </c>
      <c r="AY47" s="0" t="n">
        <v>1.5</v>
      </c>
      <c r="AZ47" s="0" t="n">
        <v>0.7357142857142858</v>
      </c>
      <c r="BA47" s="0" t="n">
        <v>0.5</v>
      </c>
      <c r="BB47" s="0">
        <f>ROUND((AX47/2*0.4+AY47/1.5*0.3+AZ47/1*0.2+BA47/0.5*0.1)*100,2)</f>
        <v/>
      </c>
      <c r="BC47" s="0">
        <f>ROUND(AC47+AH47+AI47+AL47+AQ47+AS47+AW47+(BB47/100*5),2)</f>
        <v/>
      </c>
      <c r="BD47" s="0">
        <f>IF(BC47&lt;=20,"极弱",IF(BC47&lt;=40,"偏弱",IF(BC47&lt;=60,"中等",IF(BC47&lt;=80,"较强","卓越"))))</f>
        <v/>
      </c>
      <c r="BH47" s="0" t="inlineStr">
        <is>
          <t>抖音/快手</t>
        </is>
      </c>
    </row>
    <row r="48">
      <c r="A48" s="0" t="n">
        <v>47</v>
      </c>
      <c r="B48" s="0" t="inlineStr">
        <is>
          <t>厨神便衣摆地摊，逃犯催我快上班</t>
        </is>
      </c>
      <c r="C48" s="0" t="inlineStr">
        <is>
          <t>/Users/mr.hu/Desktop/爆款排名/11.4日剧本/新建文件夹/厨神便衣摆地摊，逃犯催我快上班.docx</t>
        </is>
      </c>
      <c r="E48" s="0" t="n">
        <v>25.52</v>
      </c>
      <c r="F48" s="0" t="n">
        <v>21</v>
      </c>
      <c r="G48" s="0">
        <f>=IF(E48&lt;=8,"15–20集",IF(E48&lt;=20,"20–30集","30–40集"))</f>
        <v/>
      </c>
      <c r="H48" s="0" t="inlineStr">
        <is>
          <t>男频</t>
        </is>
      </c>
      <c r="I48" s="0" t="inlineStr">
        <is>
          <t>科幻/奇幻</t>
        </is>
      </c>
      <c r="J48" s="0" t="inlineStr">
        <is>
          <t>职场/商战</t>
        </is>
      </c>
      <c r="K48" s="0" t="inlineStr">
        <is>
          <t>写实都市</t>
        </is>
      </c>
      <c r="L48" s="0" t="n">
        <v>4</v>
      </c>
      <c r="M48" s="0" t="n">
        <v>5</v>
      </c>
      <c r="N48" s="0" t="inlineStr">
        <is>
          <t>男性/下沉/45+</t>
        </is>
      </c>
      <c r="O48" s="0" t="inlineStr">
        <is>
          <t>周末黄金</t>
        </is>
      </c>
      <c r="P48" s="0" t="inlineStr">
        <is>
          <t>知识信息量</t>
        </is>
      </c>
      <c r="Q48" s="0" t="n">
        <v>3</v>
      </c>
      <c r="R48" s="0" t="n">
        <v>3</v>
      </c>
      <c r="S48" s="0" t="n">
        <v>1</v>
      </c>
      <c r="T48" s="0" t="n">
        <v>0</v>
      </c>
      <c r="U48" s="0" t="n">
        <v>3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4</v>
      </c>
      <c r="AA48" s="0" t="n">
        <v>2</v>
      </c>
      <c r="AB48" s="0" t="n">
        <v>2</v>
      </c>
      <c r="AC48" s="0">
        <f>=Y48+Z48+AA48+AB48</f>
        <v/>
      </c>
      <c r="AD48" s="0" t="n">
        <v>4</v>
      </c>
      <c r="AE48" s="0" t="n">
        <v>5</v>
      </c>
      <c r="AF48" s="0" t="n">
        <v>2</v>
      </c>
      <c r="AG48" s="0" t="n">
        <v>1</v>
      </c>
      <c r="AH48" s="0">
        <f>=AD48+AE48+AF48+AG48</f>
        <v/>
      </c>
      <c r="AI48" s="0">
        <f>=Q48+R48+S48+T48</f>
        <v/>
      </c>
      <c r="AJ48" s="0" t="n">
        <v>3</v>
      </c>
      <c r="AK48" s="0">
        <f>=U48</f>
        <v/>
      </c>
      <c r="AL48" s="0">
        <f>=AJ48+U48+V48+W48+X48</f>
        <v/>
      </c>
      <c r="AM48" s="0" t="n">
        <v>0</v>
      </c>
      <c r="AN48" s="0" t="n">
        <v>10.58</v>
      </c>
      <c r="AO48" s="0" t="n">
        <v>25</v>
      </c>
      <c r="AP48" s="0" t="n">
        <v>0</v>
      </c>
      <c r="AQ48" s="0">
        <f>=ROUND((MIN(AM48,10)/10*8)+(MIN(AN48,10)/10*6)+(MIN(AO48,10)/10*4)+(MIN(AP48,10)/10*2),2)</f>
        <v/>
      </c>
      <c r="AR48" s="0">
        <f>=IF(AQ48&gt;=67,"高",IF(AQ48&gt;=34,"中","低"))</f>
        <v/>
      </c>
      <c r="AS48" s="0">
        <f>=MIN(15,L48+M48)</f>
        <v/>
      </c>
      <c r="AT48" s="0" t="n">
        <v>3</v>
      </c>
      <c r="AU48" s="0" t="n">
        <v>2</v>
      </c>
      <c r="AV48" s="0" t="n">
        <v>2</v>
      </c>
      <c r="AW48" s="0">
        <f>=MIN(10,AT48+AU48+AV48)</f>
        <v/>
      </c>
      <c r="AX48" s="0" t="n">
        <v>2</v>
      </c>
      <c r="AY48" s="0" t="n">
        <v>1.4</v>
      </c>
      <c r="AZ48" s="0" t="n">
        <v>0.5857142857142857</v>
      </c>
      <c r="BA48" s="0" t="n">
        <v>0.5</v>
      </c>
      <c r="BB48" s="0">
        <f>=ROUND((AX48/2*0.4 + AY48/1.5*0.3 + AZ48/1*0.2 + BA48/0.5*0.1)*100,2)</f>
        <v/>
      </c>
      <c r="BC48" s="0">
        <f>=ROUND(AC48+AH48+AI48+AL48+AQ48+AS48+AW48+(BB48/100*5),2)</f>
        <v/>
      </c>
      <c r="BD48" s="0">
        <f>=IF(BC48&lt;=20,"极弱",IF(BC48&lt;=40,"偏弱",IF(BC48&lt;=60,"中等",IF(BC48&lt;=80,"较强","卓越"))))</f>
        <v/>
      </c>
      <c r="BH48" s="0" t="inlineStr">
        <is>
          <t>视频号/快手</t>
        </is>
      </c>
    </row>
    <row r="49">
      <c r="A49" s="0" t="n">
        <v>48</v>
      </c>
      <c r="B49" s="0" t="inlineStr">
        <is>
          <t>天命男二，男主都是我经验包</t>
        </is>
      </c>
      <c r="C49" s="0" t="inlineStr">
        <is>
          <t>/Users/mr.hu/Desktop/爆款排名/11.4日剧本/新建文件夹/天命男二，男主都是我经验包.docx</t>
        </is>
      </c>
      <c r="E49" s="0" t="n">
        <v>24.62</v>
      </c>
      <c r="F49" s="0" t="n">
        <v>20</v>
      </c>
      <c r="G49" s="0">
        <f>=IF(E49&lt;=8,"15–20集",IF(E49&lt;=20,"20–30集","30–40集"))</f>
        <v/>
      </c>
      <c r="H49" s="0" t="inlineStr">
        <is>
          <t>男频</t>
        </is>
      </c>
      <c r="I49" s="0" t="inlineStr">
        <is>
          <t>古代</t>
        </is>
      </c>
      <c r="J49" s="0" t="inlineStr">
        <is>
          <t>职场/商战</t>
        </is>
      </c>
      <c r="K49" s="0" t="inlineStr">
        <is>
          <t>武侠动作</t>
        </is>
      </c>
      <c r="L49" s="0" t="n">
        <v>5</v>
      </c>
      <c r="M49" s="0" t="n">
        <v>4</v>
      </c>
      <c r="N49" s="0" t="inlineStr">
        <is>
          <t>男性/一二线/18–35</t>
        </is>
      </c>
      <c r="O49" s="0" t="inlineStr">
        <is>
          <t>周末黄金</t>
        </is>
      </c>
      <c r="P49" s="0" t="inlineStr">
        <is>
          <t>反转爽点</t>
        </is>
      </c>
      <c r="Q49" s="0" t="n">
        <v>3</v>
      </c>
      <c r="R49" s="0" t="n">
        <v>3</v>
      </c>
      <c r="S49" s="0" t="n">
        <v>1</v>
      </c>
      <c r="T49" s="0" t="n">
        <v>1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4</v>
      </c>
      <c r="AA49" s="0" t="n">
        <v>0</v>
      </c>
      <c r="AB49" s="0" t="n">
        <v>2</v>
      </c>
      <c r="AC49" s="0">
        <f>=Y49+Z49+AA49+AB49</f>
        <v/>
      </c>
      <c r="AD49" s="0" t="n">
        <v>5</v>
      </c>
      <c r="AE49" s="0" t="n">
        <v>4</v>
      </c>
      <c r="AF49" s="0" t="n">
        <v>2</v>
      </c>
      <c r="AG49" s="0" t="n">
        <v>1</v>
      </c>
      <c r="AH49" s="0">
        <f>=AD49+AE49+AF49+AG49</f>
        <v/>
      </c>
      <c r="AI49" s="0">
        <f>=Q49+R49+S49+T49</f>
        <v/>
      </c>
      <c r="AJ49" s="0" t="n">
        <v>3</v>
      </c>
      <c r="AK49" s="0">
        <f>=U49</f>
        <v/>
      </c>
      <c r="AL49" s="0">
        <f>=AJ49+U49+V49+W49+X49</f>
        <v/>
      </c>
      <c r="AM49" s="0" t="n">
        <v>2.44</v>
      </c>
      <c r="AN49" s="0" t="n">
        <v>4.87</v>
      </c>
      <c r="AO49" s="0" t="n">
        <v>25</v>
      </c>
      <c r="AP49" s="0" t="n">
        <v>12</v>
      </c>
      <c r="AQ49" s="0">
        <f>=ROUND((MIN(AM49,10)/10*8)+(MIN(AN49,10)/10*6)+(MIN(AO49,10)/10*4)+(MIN(AP49,10)/10*2),2)</f>
        <v/>
      </c>
      <c r="AR49" s="0">
        <f>=IF(AQ49&gt;=67,"高",IF(AQ49&gt;=34,"中","低"))</f>
        <v/>
      </c>
      <c r="AS49" s="0">
        <f>=MIN(15,L49+M49)</f>
        <v/>
      </c>
      <c r="AT49" s="0" t="n">
        <v>3</v>
      </c>
      <c r="AU49" s="0" t="n">
        <v>2</v>
      </c>
      <c r="AV49" s="0" t="n">
        <v>2</v>
      </c>
      <c r="AW49" s="0">
        <f>=MIN(10,AT49+AU49+AV49)</f>
        <v/>
      </c>
      <c r="AX49" s="0" t="n">
        <v>2</v>
      </c>
      <c r="AY49" s="0" t="n">
        <v>1.4</v>
      </c>
      <c r="AZ49" s="0" t="n">
        <v>0.6035714285714285</v>
      </c>
      <c r="BA49" s="0" t="n">
        <v>0.5</v>
      </c>
      <c r="BB49" s="0">
        <f>=ROUND((AX49/2*0.4 + AY49/1.5*0.3 + AZ49/1*0.2 + BA49/0.5*0.1)*100,2)</f>
        <v/>
      </c>
      <c r="BC49" s="0">
        <f>=ROUND(AC49+AH49+AI49+AL49+AQ49+AS49+AW49+(BB49/100*5),2)</f>
        <v/>
      </c>
      <c r="BD49" s="0">
        <f>=IF(BC49&lt;=20,"极弱",IF(BC49&lt;=40,"偏弱",IF(BC49&lt;=60,"中等",IF(BC49&lt;=80,"较强","卓越"))))</f>
        <v/>
      </c>
      <c r="BH49" s="0" t="inlineStr">
        <is>
          <t>抖音/快手</t>
        </is>
      </c>
    </row>
    <row r="50">
      <c r="A50" s="0" t="n">
        <v>49</v>
      </c>
      <c r="B50" s="0" t="inlineStr">
        <is>
          <t>天降婚约：植物人老婆是我的外挂</t>
        </is>
      </c>
      <c r="C50" s="0" t="inlineStr">
        <is>
          <t>/Users/mr.hu/Desktop/爆款排名/11.4日剧本/新建文件夹/天降婚约：植物人老婆是我的外挂.docx</t>
        </is>
      </c>
      <c r="E50" s="0" t="n">
        <v>25.48</v>
      </c>
      <c r="F50" s="0" t="n">
        <v>21</v>
      </c>
      <c r="G50" s="0">
        <f>=IF(E50&lt;=8,"15–20集",IF(E50&lt;=20,"20–30集","30–40集"))</f>
        <v/>
      </c>
      <c r="H50" s="0" t="inlineStr">
        <is>
          <t>男频</t>
        </is>
      </c>
      <c r="I50" s="0" t="inlineStr">
        <is>
          <t>科幻/奇幻</t>
        </is>
      </c>
      <c r="J50" s="0" t="inlineStr">
        <is>
          <t>职场/商战</t>
        </is>
      </c>
      <c r="K50" s="0" t="inlineStr">
        <is>
          <t>写实都市</t>
        </is>
      </c>
      <c r="L50" s="0" t="n">
        <v>6</v>
      </c>
      <c r="M50" s="0" t="n">
        <v>5</v>
      </c>
      <c r="N50" s="0" t="inlineStr">
        <is>
          <t>男性/一二线/18–35</t>
        </is>
      </c>
      <c r="O50" s="0" t="inlineStr">
        <is>
          <t>节假日前后</t>
        </is>
      </c>
      <c r="P50" s="0" t="inlineStr">
        <is>
          <t>成长救赎</t>
        </is>
      </c>
      <c r="Q50" s="0" t="n">
        <v>3</v>
      </c>
      <c r="R50" s="0" t="n">
        <v>3</v>
      </c>
      <c r="S50" s="0" t="n">
        <v>3</v>
      </c>
      <c r="T50" s="0" t="n">
        <v>1</v>
      </c>
      <c r="U50" s="0" t="n">
        <v>1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4</v>
      </c>
      <c r="AA50" s="0" t="n">
        <v>2</v>
      </c>
      <c r="AB50" s="0" t="n">
        <v>2</v>
      </c>
      <c r="AC50" s="0">
        <f>=Y50+Z50+AA50+AB50</f>
        <v/>
      </c>
      <c r="AD50" s="0" t="n">
        <v>3</v>
      </c>
      <c r="AE50" s="0" t="n">
        <v>4</v>
      </c>
      <c r="AF50" s="0" t="n">
        <v>2</v>
      </c>
      <c r="AG50" s="0" t="n">
        <v>0</v>
      </c>
      <c r="AH50" s="0">
        <f>=AD50+AE50+AF50+AG50</f>
        <v/>
      </c>
      <c r="AI50" s="0">
        <f>=Q50+R50+S50+T50</f>
        <v/>
      </c>
      <c r="AJ50" s="0" t="n">
        <v>3</v>
      </c>
      <c r="AK50" s="0">
        <f>=U50</f>
        <v/>
      </c>
      <c r="AL50" s="0">
        <f>=AJ50+U50+V50+W50+X50</f>
        <v/>
      </c>
      <c r="AM50" s="0" t="n">
        <v>3.14</v>
      </c>
      <c r="AN50" s="0" t="n">
        <v>4.71</v>
      </c>
      <c r="AO50" s="0" t="n">
        <v>0</v>
      </c>
      <c r="AP50" s="0" t="n">
        <v>24</v>
      </c>
      <c r="AQ50" s="0">
        <f>=ROUND((MIN(AM50,10)/10*8)+(MIN(AN50,10)/10*6)+(MIN(AO50,10)/10*4)+(MIN(AP50,10)/10*2),2)</f>
        <v/>
      </c>
      <c r="AR50" s="0">
        <f>=IF(AQ50&gt;=67,"高",IF(AQ50&gt;=34,"中","低"))</f>
        <v/>
      </c>
      <c r="AS50" s="0">
        <f>=MIN(15,L50+M50)</f>
        <v/>
      </c>
      <c r="AT50" s="0" t="n">
        <v>3</v>
      </c>
      <c r="AU50" s="0" t="n">
        <v>2</v>
      </c>
      <c r="AV50" s="0" t="n">
        <v>3</v>
      </c>
      <c r="AW50" s="0">
        <f>=MIN(10,AT50+AU50+AV50)</f>
        <v/>
      </c>
      <c r="AX50" s="0" t="n">
        <v>2</v>
      </c>
      <c r="AY50" s="0" t="n">
        <v>0.5</v>
      </c>
      <c r="AZ50" s="0" t="n">
        <v>0.7357142857142858</v>
      </c>
      <c r="BA50" s="0" t="n">
        <v>0.5</v>
      </c>
      <c r="BB50" s="0">
        <f>=ROUND((AX50/2*0.4 + AY50/1.5*0.3 + AZ50/1*0.2 + BA50/0.5*0.1)*100,2)</f>
        <v/>
      </c>
      <c r="BC50" s="0">
        <f>=ROUND(AC50+AH50+AI50+AL50+AQ50+AS50+AW50+(BB50/100*5),2)</f>
        <v/>
      </c>
      <c r="BD50" s="0">
        <f>=IF(BC50&lt;=20,"极弱",IF(BC50&lt;=40,"偏弱",IF(BC50&lt;=60,"中等",IF(BC50&lt;=80,"较强","卓越"))))</f>
        <v/>
      </c>
      <c r="BH50" s="0" t="inlineStr">
        <is>
          <t>抖音/快手</t>
        </is>
      </c>
    </row>
    <row r="51">
      <c r="A51" s="0" t="n">
        <v>50</v>
      </c>
      <c r="B51" s="0" t="inlineStr">
        <is>
          <t>开局赠婚河东狮，我反手掀了朝堂</t>
        </is>
      </c>
      <c r="C51" s="0" t="inlineStr">
        <is>
          <t>/Users/mr.hu/Desktop/爆款排名/11.4日剧本/新建文件夹/开局赠婚河东狮，我反手掀了朝堂.docx</t>
        </is>
      </c>
      <c r="E51" s="0" t="n">
        <v>22.95</v>
      </c>
      <c r="F51" s="0" t="n">
        <v>19</v>
      </c>
      <c r="G51" s="0">
        <f>=IF(E51&lt;=8,"15–20集",IF(E51&lt;=20,"20–30集","30–40集"))</f>
        <v/>
      </c>
      <c r="H51" s="0" t="inlineStr">
        <is>
          <t>男频</t>
        </is>
      </c>
      <c r="I51" s="0" t="inlineStr">
        <is>
          <t>古代</t>
        </is>
      </c>
      <c r="J51" s="0" t="inlineStr">
        <is>
          <t>古代权谋/科举</t>
        </is>
      </c>
      <c r="K51" s="0" t="inlineStr">
        <is>
          <t>武侠动作</t>
        </is>
      </c>
      <c r="L51" s="0" t="n">
        <v>6</v>
      </c>
      <c r="M51" s="0" t="n">
        <v>5</v>
      </c>
      <c r="N51" s="0" t="inlineStr">
        <is>
          <t>男性/一二线/18–35</t>
        </is>
      </c>
      <c r="O51" s="0" t="inlineStr">
        <is>
          <t>周末黄金</t>
        </is>
      </c>
      <c r="P51" s="0" t="inlineStr">
        <is>
          <t>知识信息量</t>
        </is>
      </c>
      <c r="Q51" s="0" t="n">
        <v>3</v>
      </c>
      <c r="R51" s="0" t="n">
        <v>3</v>
      </c>
      <c r="S51" s="0" t="n">
        <v>2</v>
      </c>
      <c r="T51" s="0" t="n">
        <v>1</v>
      </c>
      <c r="U51" s="0" t="n">
        <v>1</v>
      </c>
      <c r="V51" s="0" t="n">
        <v>2</v>
      </c>
      <c r="W51" s="0" t="n">
        <v>1</v>
      </c>
      <c r="X51" s="0" t="n">
        <v>1</v>
      </c>
      <c r="Y51" s="0" t="n">
        <v>2</v>
      </c>
      <c r="Z51" s="0" t="n">
        <v>4</v>
      </c>
      <c r="AA51" s="0" t="n">
        <v>0</v>
      </c>
      <c r="AB51" s="0" t="n">
        <v>1</v>
      </c>
      <c r="AC51" s="0">
        <f>=Y51+Z51+AA51+AB51</f>
        <v/>
      </c>
      <c r="AD51" s="0" t="n">
        <v>3</v>
      </c>
      <c r="AE51" s="0" t="n">
        <v>6</v>
      </c>
      <c r="AF51" s="0" t="n">
        <v>2</v>
      </c>
      <c r="AG51" s="0" t="n">
        <v>1</v>
      </c>
      <c r="AH51" s="0">
        <f>=AD51+AE51+AF51+AG51</f>
        <v/>
      </c>
      <c r="AI51" s="0">
        <f>=Q51+R51+S51+T51</f>
        <v/>
      </c>
      <c r="AJ51" s="0" t="n">
        <v>1</v>
      </c>
      <c r="AK51" s="0">
        <f>=U51</f>
        <v/>
      </c>
      <c r="AL51" s="0">
        <f>=AJ51+U51+V51+W51+X51</f>
        <v/>
      </c>
      <c r="AM51" s="0" t="n">
        <v>1.74</v>
      </c>
      <c r="AN51" s="0" t="n">
        <v>19.61</v>
      </c>
      <c r="AO51" s="0" t="n">
        <v>0</v>
      </c>
      <c r="AP51" s="0" t="n">
        <v>12</v>
      </c>
      <c r="AQ51" s="0">
        <f>=ROUND((MIN(AM51,10)/10*8)+(MIN(AN51,10)/10*6)+(MIN(AO51,10)/10*4)+(MIN(AP51,10)/10*2),2)</f>
        <v/>
      </c>
      <c r="AR51" s="0">
        <f>=IF(AQ51&gt;=67,"高",IF(AQ51&gt;=34,"中","低"))</f>
        <v/>
      </c>
      <c r="AS51" s="0">
        <f>=MIN(15,L51+M51)</f>
        <v/>
      </c>
      <c r="AT51" s="0" t="n">
        <v>2</v>
      </c>
      <c r="AU51" s="0" t="n">
        <v>2</v>
      </c>
      <c r="AV51" s="0" t="n">
        <v>2</v>
      </c>
      <c r="AW51" s="0">
        <f>=MIN(10,AT51+AU51+AV51)</f>
        <v/>
      </c>
      <c r="AX51" s="0" t="n">
        <v>1.5</v>
      </c>
      <c r="AY51" s="0" t="n">
        <v>1.5</v>
      </c>
      <c r="AZ51" s="0" t="n">
        <v>0.7357142857142858</v>
      </c>
      <c r="BA51" s="0" t="n">
        <v>0.5</v>
      </c>
      <c r="BB51" s="0">
        <f>=ROUND((AX51/2*0.4 + AY51/1.5*0.3 + AZ51/1*0.2 + BA51/0.5*0.1)*100,2)</f>
        <v/>
      </c>
      <c r="BC51" s="0">
        <f>=ROUND(AC51+AH51+AI51+AL51+AQ51+AS51+AW51+(BB51/100*5),2)</f>
        <v/>
      </c>
      <c r="BD51" s="0">
        <f>=IF(BC51&lt;=20,"极弱",IF(BC51&lt;=40,"偏弱",IF(BC51&lt;=60,"中等",IF(BC51&lt;=80,"较强","卓越"))))</f>
        <v/>
      </c>
      <c r="BH51" s="0" t="inlineStr">
        <is>
          <t>抖音/快手</t>
        </is>
      </c>
    </row>
    <row r="52">
      <c r="A52" s="0" t="n">
        <v>51</v>
      </c>
      <c r="B52" s="0" t="inlineStr">
        <is>
          <t>我就摆个摊，食客哭着求我投喂</t>
        </is>
      </c>
      <c r="C52" s="0" t="inlineStr">
        <is>
          <t>/Users/mr.hu/Desktop/爆款排名/11.4日剧本/新建文件夹/我就摆个摊，食客哭着求我投喂.docx</t>
        </is>
      </c>
      <c r="E52" s="0" t="n">
        <v>22.5</v>
      </c>
      <c r="F52" s="0" t="n">
        <v>18</v>
      </c>
      <c r="G52" s="0">
        <f>=IF(E52&lt;=8,"15–20集",IF(E52&lt;=20,"20–30集","30–40集"))</f>
        <v/>
      </c>
      <c r="H52" s="0" t="inlineStr">
        <is>
          <t>男频</t>
        </is>
      </c>
      <c r="I52" s="0" t="inlineStr">
        <is>
          <t>古代</t>
        </is>
      </c>
      <c r="J52" s="0" t="inlineStr">
        <is>
          <t>职场/商战</t>
        </is>
      </c>
      <c r="K52" s="0" t="inlineStr">
        <is>
          <t>古装群像</t>
        </is>
      </c>
      <c r="L52" s="0" t="n">
        <v>5</v>
      </c>
      <c r="M52" s="0" t="n">
        <v>5</v>
      </c>
      <c r="N52" s="0" t="inlineStr">
        <is>
          <t>男性/下沉/45+</t>
        </is>
      </c>
      <c r="O52" s="0" t="inlineStr">
        <is>
          <t>周末黄金</t>
        </is>
      </c>
      <c r="P52" s="0" t="inlineStr">
        <is>
          <t>反转爽点</t>
        </is>
      </c>
      <c r="Q52" s="0" t="n">
        <v>3</v>
      </c>
      <c r="R52" s="0" t="n">
        <v>3</v>
      </c>
      <c r="S52" s="0" t="n">
        <v>2</v>
      </c>
      <c r="T52" s="0" t="n">
        <v>1</v>
      </c>
      <c r="U52" s="0" t="n">
        <v>1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4</v>
      </c>
      <c r="AA52" s="0" t="n">
        <v>2</v>
      </c>
      <c r="AB52" s="0" t="n">
        <v>2</v>
      </c>
      <c r="AC52" s="0">
        <f>=Y52+Z52+AA52+AB52</f>
        <v/>
      </c>
      <c r="AD52" s="0" t="n">
        <v>5</v>
      </c>
      <c r="AE52" s="0" t="n">
        <v>4</v>
      </c>
      <c r="AF52" s="0" t="n">
        <v>2</v>
      </c>
      <c r="AG52" s="0" t="n">
        <v>1</v>
      </c>
      <c r="AH52" s="0">
        <f>=AD52+AE52+AF52+AG52</f>
        <v/>
      </c>
      <c r="AI52" s="0">
        <f>=Q52+R52+S52+T52</f>
        <v/>
      </c>
      <c r="AJ52" s="0" t="n">
        <v>3</v>
      </c>
      <c r="AK52" s="0">
        <f>=U52</f>
        <v/>
      </c>
      <c r="AL52" s="0">
        <f>=AJ52+U52+V52+W52+X52</f>
        <v/>
      </c>
      <c r="AM52" s="0" t="n">
        <v>1.78</v>
      </c>
      <c r="AN52" s="0" t="n">
        <v>5.33</v>
      </c>
      <c r="AO52" s="0" t="n">
        <v>0</v>
      </c>
      <c r="AP52" s="0" t="n">
        <v>24</v>
      </c>
      <c r="AQ52" s="0">
        <f>=ROUND((MIN(AM52,10)/10*8)+(MIN(AN52,10)/10*6)+(MIN(AO52,10)/10*4)+(MIN(AP52,10)/10*2),2)</f>
        <v/>
      </c>
      <c r="AR52" s="0">
        <f>=IF(AQ52&gt;=67,"高",IF(AQ52&gt;=34,"中","低"))</f>
        <v/>
      </c>
      <c r="AS52" s="0">
        <f>=MIN(15,L52+M52)</f>
        <v/>
      </c>
      <c r="AT52" s="0" t="n">
        <v>3</v>
      </c>
      <c r="AU52" s="0" t="n">
        <v>2</v>
      </c>
      <c r="AV52" s="0" t="n">
        <v>3</v>
      </c>
      <c r="AW52" s="0">
        <f>=MIN(10,AT52+AU52+AV52)</f>
        <v/>
      </c>
      <c r="AX52" s="0" t="n">
        <v>2</v>
      </c>
      <c r="AY52" s="0" t="n">
        <v>1.35</v>
      </c>
      <c r="AZ52" s="0" t="n">
        <v>0.6607142857142858</v>
      </c>
      <c r="BA52" s="0" t="n">
        <v>0.5</v>
      </c>
      <c r="BB52" s="0">
        <f>=ROUND((AX52/2*0.4 + AY52/1.5*0.3 + AZ52/1*0.2 + BA52/0.5*0.1)*100,2)</f>
        <v/>
      </c>
      <c r="BC52" s="0">
        <f>=ROUND(AC52+AH52+AI52+AL52+AQ52+AS52+AW52+(BB52/100*5),2)</f>
        <v/>
      </c>
      <c r="BD52" s="0">
        <f>=IF(BC52&lt;=20,"极弱",IF(BC52&lt;=40,"偏弱",IF(BC52&lt;=60,"中等",IF(BC52&lt;=80,"较强","卓越"))))</f>
        <v/>
      </c>
      <c r="BH52" s="0" t="inlineStr">
        <is>
          <t>视频号/快手</t>
        </is>
      </c>
    </row>
    <row r="53">
      <c r="A53" s="0" t="n">
        <v>52</v>
      </c>
      <c r="B53" s="0" t="inlineStr">
        <is>
          <t>摸鱼达人，骚操作惊呆白富美</t>
        </is>
      </c>
      <c r="C53" s="0" t="inlineStr">
        <is>
          <t>/Users/mr.hu/Desktop/爆款排名/11.4日剧本/新建文件夹/摸鱼达人，骚操作惊呆白富美.docx</t>
        </is>
      </c>
      <c r="E53" s="0" t="n">
        <v>21.16</v>
      </c>
      <c r="F53" s="0" t="n">
        <v>17</v>
      </c>
      <c r="G53" s="0">
        <f>=IF(E53&lt;=8,"15–20集",IF(E53&lt;=20,"20–30集","30–40集"))</f>
        <v/>
      </c>
      <c r="H53" s="0" t="inlineStr">
        <is>
          <t>男频</t>
        </is>
      </c>
      <c r="I53" s="0" t="inlineStr">
        <is>
          <t>科幻/奇幻</t>
        </is>
      </c>
      <c r="J53" s="0" t="inlineStr">
        <is>
          <t>职场/商战</t>
        </is>
      </c>
      <c r="K53" s="0" t="inlineStr">
        <is>
          <t>写实都市</t>
        </is>
      </c>
      <c r="L53" s="0" t="n">
        <v>5</v>
      </c>
      <c r="M53" s="0" t="n">
        <v>4</v>
      </c>
      <c r="N53" s="0" t="inlineStr">
        <is>
          <t>男性/一二线/45+</t>
        </is>
      </c>
      <c r="O53" s="0" t="inlineStr">
        <is>
          <t>节假日前后</t>
        </is>
      </c>
      <c r="P53" s="0" t="inlineStr">
        <is>
          <t>反转爽点</t>
        </is>
      </c>
      <c r="Q53" s="0" t="n">
        <v>3</v>
      </c>
      <c r="R53" s="0" t="n">
        <v>3</v>
      </c>
      <c r="S53" s="0" t="n">
        <v>3</v>
      </c>
      <c r="T53" s="0" t="n">
        <v>1</v>
      </c>
      <c r="U53" s="0" t="n">
        <v>3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4</v>
      </c>
      <c r="AA53" s="0" t="n">
        <v>2</v>
      </c>
      <c r="AB53" s="0" t="n">
        <v>2</v>
      </c>
      <c r="AC53" s="0">
        <f>=Y53+Z53+AA53+AB53</f>
        <v/>
      </c>
      <c r="AD53" s="0" t="n">
        <v>5</v>
      </c>
      <c r="AE53" s="0" t="n">
        <v>6</v>
      </c>
      <c r="AF53" s="0" t="n">
        <v>2</v>
      </c>
      <c r="AG53" s="0" t="n">
        <v>0</v>
      </c>
      <c r="AH53" s="0">
        <f>=AD53+AE53+AF53+AG53</f>
        <v/>
      </c>
      <c r="AI53" s="0">
        <f>=Q53+R53+S53+T53</f>
        <v/>
      </c>
      <c r="AJ53" s="0" t="n">
        <v>3</v>
      </c>
      <c r="AK53" s="0">
        <f>=U53</f>
        <v/>
      </c>
      <c r="AL53" s="0">
        <f>=AJ53+U53+V53+W53+X53</f>
        <v/>
      </c>
      <c r="AM53" s="0" t="n">
        <v>2.84</v>
      </c>
      <c r="AN53" s="0" t="n">
        <v>24.1</v>
      </c>
      <c r="AO53" s="0" t="n">
        <v>0</v>
      </c>
      <c r="AP53" s="0" t="n">
        <v>48</v>
      </c>
      <c r="AQ53" s="0">
        <f>=ROUND((MIN(AM53,10)/10*8)+(MIN(AN53,10)/10*6)+(MIN(AO53,10)/10*4)+(MIN(AP53,10)/10*2),2)</f>
        <v/>
      </c>
      <c r="AR53" s="0">
        <f>=IF(AQ53&gt;=67,"高",IF(AQ53&gt;=34,"中","低"))</f>
        <v/>
      </c>
      <c r="AS53" s="0">
        <f>=MIN(15,L53+M53)</f>
        <v/>
      </c>
      <c r="AT53" s="0" t="n">
        <v>3</v>
      </c>
      <c r="AU53" s="0" t="n">
        <v>2</v>
      </c>
      <c r="AV53" s="0" t="n">
        <v>2</v>
      </c>
      <c r="AW53" s="0">
        <f>=MIN(10,AT53+AU53+AV53)</f>
        <v/>
      </c>
      <c r="AX53" s="0" t="n">
        <v>2</v>
      </c>
      <c r="AY53" s="0" t="n">
        <v>0.9</v>
      </c>
      <c r="AZ53" s="0" t="n">
        <v>0.6035714285714285</v>
      </c>
      <c r="BA53" s="0" t="n">
        <v>0.5</v>
      </c>
      <c r="BB53" s="0">
        <f>=ROUND((AX53/2*0.4 + AY53/1.5*0.3 + AZ53/1*0.2 + BA53/0.5*0.1)*100,2)</f>
        <v/>
      </c>
      <c r="BC53" s="0">
        <f>=ROUND(AC53+AH53+AI53+AL53+AQ53+AS53+AW53+(BB53/100*5),2)</f>
        <v/>
      </c>
      <c r="BD53" s="0">
        <f>=IF(BC53&lt;=20,"极弱",IF(BC53&lt;=40,"偏弱",IF(BC53&lt;=60,"中等",IF(BC53&lt;=80,"较强","卓越"))))</f>
        <v/>
      </c>
      <c r="BH53" s="0" t="inlineStr">
        <is>
          <t>抖音/快手</t>
        </is>
      </c>
    </row>
    <row r="54">
      <c r="A54" s="0" t="n">
        <v>53</v>
      </c>
      <c r="B54" s="0" t="inlineStr">
        <is>
          <t>绑定女总裁，激活宠女儿系统？？</t>
        </is>
      </c>
      <c r="C54" s="0" t="inlineStr">
        <is>
          <t>/Users/mr.hu/Desktop/爆款排名/11.4日剧本/新建文件夹/绑定女总裁，激活宠女儿系统？？.docx</t>
        </is>
      </c>
      <c r="E54" s="0" t="n">
        <v>26.7</v>
      </c>
      <c r="F54" s="0" t="n">
        <v>22</v>
      </c>
      <c r="G54" s="0">
        <f>=IF(E54&lt;=8,"15–20集",IF(E54&lt;=20,"20–30集","30–40集"))</f>
        <v/>
      </c>
      <c r="H54" s="0" t="inlineStr">
        <is>
          <t>男频</t>
        </is>
      </c>
      <c r="I54" s="0" t="inlineStr">
        <is>
          <t>现代</t>
        </is>
      </c>
      <c r="J54" s="0" t="inlineStr">
        <is>
          <t>职场/商战</t>
        </is>
      </c>
      <c r="K54" s="0" t="inlineStr">
        <is>
          <t>写实都市</t>
        </is>
      </c>
      <c r="L54" s="0" t="n">
        <v>5</v>
      </c>
      <c r="M54" s="0" t="n">
        <v>4</v>
      </c>
      <c r="N54" s="0" t="inlineStr">
        <is>
          <t>男性/一二线/18–35</t>
        </is>
      </c>
      <c r="O54" s="0" t="inlineStr">
        <is>
          <t>节假日前后</t>
        </is>
      </c>
      <c r="P54" s="0" t="inlineStr">
        <is>
          <t>反转爽点</t>
        </is>
      </c>
      <c r="Q54" s="0" t="n">
        <v>3</v>
      </c>
      <c r="R54" s="0" t="n">
        <v>3</v>
      </c>
      <c r="S54" s="0" t="n">
        <v>3</v>
      </c>
      <c r="T54" s="0" t="n">
        <v>1</v>
      </c>
      <c r="U54" s="0" t="n">
        <v>1</v>
      </c>
      <c r="V54" s="0" t="n">
        <v>2</v>
      </c>
      <c r="W54" s="0" t="n">
        <v>1</v>
      </c>
      <c r="X54" s="0" t="n">
        <v>1</v>
      </c>
      <c r="Y54" s="0" t="n">
        <v>2</v>
      </c>
      <c r="Z54" s="0" t="n">
        <v>4</v>
      </c>
      <c r="AA54" s="0" t="n">
        <v>2</v>
      </c>
      <c r="AB54" s="0" t="n">
        <v>2</v>
      </c>
      <c r="AC54" s="0">
        <f>=Y54+Z54+AA54+AB54</f>
        <v/>
      </c>
      <c r="AD54" s="0" t="n">
        <v>5</v>
      </c>
      <c r="AE54" s="0" t="n">
        <v>3</v>
      </c>
      <c r="AF54" s="0" t="n">
        <v>2</v>
      </c>
      <c r="AG54" s="0" t="n">
        <v>1</v>
      </c>
      <c r="AH54" s="0">
        <f>=AD54+AE54+AF54+AG54</f>
        <v/>
      </c>
      <c r="AI54" s="0">
        <f>=Q54+R54+S54+T54</f>
        <v/>
      </c>
      <c r="AJ54" s="0" t="n">
        <v>3</v>
      </c>
      <c r="AK54" s="0">
        <f>=U54</f>
        <v/>
      </c>
      <c r="AL54" s="0">
        <f>=AJ54+U54+V54+W54+X54</f>
        <v/>
      </c>
      <c r="AM54" s="0" t="n">
        <v>2.25</v>
      </c>
      <c r="AN54" s="0" t="n">
        <v>1.12</v>
      </c>
      <c r="AO54" s="0" t="n">
        <v>0</v>
      </c>
      <c r="AP54" s="0" t="n">
        <v>48</v>
      </c>
      <c r="AQ54" s="0">
        <f>=ROUND((MIN(AM54,10)/10*8)+(MIN(AN54,10)/10*6)+(MIN(AO54,10)/10*4)+(MIN(AP54,10)/10*2),2)</f>
        <v/>
      </c>
      <c r="AR54" s="0">
        <f>=IF(AQ54&gt;=67,"高",IF(AQ54&gt;=34,"中","低"))</f>
        <v/>
      </c>
      <c r="AS54" s="0">
        <f>=MIN(15,L54+M54)</f>
        <v/>
      </c>
      <c r="AT54" s="0" t="n">
        <v>3</v>
      </c>
      <c r="AU54" s="0" t="n">
        <v>2</v>
      </c>
      <c r="AV54" s="0" t="n">
        <v>3</v>
      </c>
      <c r="AW54" s="0">
        <f>=MIN(10,AT54+AU54+AV54)</f>
        <v/>
      </c>
      <c r="AX54" s="0" t="n">
        <v>2</v>
      </c>
      <c r="AY54" s="0" t="n">
        <v>1.5</v>
      </c>
      <c r="AZ54" s="0" t="n">
        <v>0.6035714285714285</v>
      </c>
      <c r="BA54" s="0" t="n">
        <v>0.5</v>
      </c>
      <c r="BB54" s="0">
        <f>=ROUND((AX54/2*0.4 + AY54/1.5*0.3 + AZ54/1*0.2 + BA54/0.5*0.1)*100,2)</f>
        <v/>
      </c>
      <c r="BC54" s="0">
        <f>=ROUND(AC54+AH54+AI54+AL54+AQ54+AS54+AW54+(BB54/100*5),2)</f>
        <v/>
      </c>
      <c r="BD54" s="0">
        <f>=IF(BC54&lt;=20,"极弱",IF(BC54&lt;=40,"偏弱",IF(BC54&lt;=60,"中等",IF(BC54&lt;=80,"较强","卓越"))))</f>
        <v/>
      </c>
      <c r="BH54" s="0" t="inlineStr">
        <is>
          <t>抖音/快手</t>
        </is>
      </c>
    </row>
    <row r="55">
      <c r="A55" s="0" t="n">
        <v>54</v>
      </c>
      <c r="B55" s="0" t="inlineStr">
        <is>
          <t>重回高考，从10元赚到2亿</t>
        </is>
      </c>
      <c r="C55" s="0" t="inlineStr">
        <is>
          <t>/Users/mr.hu/Desktop/爆款排名/11.4日剧本/新建文件夹/重回高考，从10元赚到2亿.docx</t>
        </is>
      </c>
      <c r="E55" s="0" t="n">
        <v>22.47</v>
      </c>
      <c r="F55" s="0" t="n">
        <v>18</v>
      </c>
      <c r="G55" s="0">
        <f>=IF(E55&lt;=8,"15–20集",IF(E55&lt;=20,"20–30集","30–40集"))</f>
        <v/>
      </c>
      <c r="H55" s="0" t="inlineStr">
        <is>
          <t>男频</t>
        </is>
      </c>
      <c r="I55" s="0" t="inlineStr">
        <is>
          <t>古代</t>
        </is>
      </c>
      <c r="J55" s="0" t="inlineStr">
        <is>
          <t>职场/商战</t>
        </is>
      </c>
      <c r="K55" s="0" t="inlineStr">
        <is>
          <t>古装群像</t>
        </is>
      </c>
      <c r="L55" s="0" t="n">
        <v>5</v>
      </c>
      <c r="M55" s="0" t="n">
        <v>7</v>
      </c>
      <c r="N55" s="0" t="inlineStr">
        <is>
          <t>男性/下沉/45+</t>
        </is>
      </c>
      <c r="O55" s="0" t="inlineStr">
        <is>
          <t>周末黄金</t>
        </is>
      </c>
      <c r="P55" s="0" t="inlineStr">
        <is>
          <t>反转爽点</t>
        </is>
      </c>
      <c r="Q55" s="0" t="n">
        <v>3</v>
      </c>
      <c r="R55" s="0" t="n">
        <v>3</v>
      </c>
      <c r="S55" s="0" t="n">
        <v>2</v>
      </c>
      <c r="T55" s="0" t="n">
        <v>1</v>
      </c>
      <c r="U55" s="0" t="n">
        <v>3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4</v>
      </c>
      <c r="AA55" s="0" t="n">
        <v>2</v>
      </c>
      <c r="AB55" s="0" t="n">
        <v>2</v>
      </c>
      <c r="AC55" s="0">
        <f>=Y55+Z55+AA55+AB55</f>
        <v/>
      </c>
      <c r="AD55" s="0" t="n">
        <v>4</v>
      </c>
      <c r="AE55" s="0" t="n">
        <v>4</v>
      </c>
      <c r="AF55" s="0" t="n">
        <v>2</v>
      </c>
      <c r="AG55" s="0" t="n">
        <v>1</v>
      </c>
      <c r="AH55" s="0">
        <f>=AD55+AE55+AF55+AG55</f>
        <v/>
      </c>
      <c r="AI55" s="0">
        <f>=Q55+R55+S55+T55</f>
        <v/>
      </c>
      <c r="AJ55" s="0" t="n">
        <v>3</v>
      </c>
      <c r="AK55" s="0">
        <f>=U55</f>
        <v/>
      </c>
      <c r="AL55" s="0">
        <f>=AJ55+U55+V55+W55+X55</f>
        <v/>
      </c>
      <c r="AM55" s="0" t="n">
        <v>2.67</v>
      </c>
      <c r="AN55" s="0" t="n">
        <v>4</v>
      </c>
      <c r="AO55" s="0" t="n">
        <v>0</v>
      </c>
      <c r="AP55" s="0" t="n">
        <v>36</v>
      </c>
      <c r="AQ55" s="0">
        <f>=ROUND((MIN(AM55,10)/10*8)+(MIN(AN55,10)/10*6)+(MIN(AO55,10)/10*4)+(MIN(AP55,10)/10*2),2)</f>
        <v/>
      </c>
      <c r="AR55" s="0">
        <f>=IF(AQ55&gt;=67,"高",IF(AQ55&gt;=34,"中","低"))</f>
        <v/>
      </c>
      <c r="AS55" s="0">
        <f>=MIN(15,L55+M55)</f>
        <v/>
      </c>
      <c r="AT55" s="0" t="n">
        <v>3</v>
      </c>
      <c r="AU55" s="0" t="n">
        <v>2</v>
      </c>
      <c r="AV55" s="0" t="n">
        <v>2</v>
      </c>
      <c r="AW55" s="0">
        <f>=MIN(10,AT55+AU55+AV55)</f>
        <v/>
      </c>
      <c r="AX55" s="0" t="n">
        <v>2</v>
      </c>
      <c r="AY55" s="0" t="n">
        <v>0.8500000000000001</v>
      </c>
      <c r="AZ55" s="0" t="n">
        <v>0.775</v>
      </c>
      <c r="BA55" s="0" t="n">
        <v>0.5</v>
      </c>
      <c r="BB55" s="0">
        <f>=ROUND((AX55/2*0.4 + AY55/1.5*0.3 + AZ55/1*0.2 + BA55/0.5*0.1)*100,2)</f>
        <v/>
      </c>
      <c r="BC55" s="0">
        <f>=ROUND(AC55+AH55+AI55+AL55+AQ55+AS55+AW55+(BB55/100*5),2)</f>
        <v/>
      </c>
      <c r="BD55" s="0">
        <f>=IF(BC55&lt;=20,"极弱",IF(BC55&lt;=40,"偏弱",IF(BC55&lt;=60,"中等",IF(BC55&lt;=80,"较强","卓越"))))</f>
        <v/>
      </c>
      <c r="BH55" s="0" t="inlineStr">
        <is>
          <t>视频号/快手</t>
        </is>
      </c>
    </row>
    <row r="56">
      <c r="A56" s="0" t="n">
        <v>55</v>
      </c>
      <c r="B56" s="0" t="inlineStr">
        <is>
          <t>重活1979开局从分家开始</t>
        </is>
      </c>
      <c r="C56" s="0" t="inlineStr">
        <is>
          <t>/Users/mr.hu/Desktop/爆款排名/11.4日剧本/新建文件夹/重活1979开局从分家开始.docx</t>
        </is>
      </c>
      <c r="E56" s="0" t="n">
        <v>22.32</v>
      </c>
      <c r="F56" s="0" t="n">
        <v>18</v>
      </c>
      <c r="G56" s="0">
        <f>=IF(E56&lt;=8,"15–20集",IF(E56&lt;=20,"20–30集","30–40集"))</f>
        <v/>
      </c>
      <c r="H56" s="0" t="inlineStr">
        <is>
          <t>男频</t>
        </is>
      </c>
      <c r="I56" s="0" t="inlineStr">
        <is>
          <t>科幻/奇幻</t>
        </is>
      </c>
      <c r="J56" s="0" t="inlineStr">
        <is>
          <t>职场/商战</t>
        </is>
      </c>
      <c r="K56" s="0" t="inlineStr">
        <is>
          <t>写实都市</t>
        </is>
      </c>
      <c r="L56" s="0" t="n">
        <v>4</v>
      </c>
      <c r="M56" s="0" t="n">
        <v>7</v>
      </c>
      <c r="N56" s="0" t="inlineStr">
        <is>
          <t>男性/下沉/45+</t>
        </is>
      </c>
      <c r="O56" s="0" t="inlineStr">
        <is>
          <t>周末黄金</t>
        </is>
      </c>
      <c r="P56" s="0" t="inlineStr">
        <is>
          <t>成长救赎</t>
        </is>
      </c>
      <c r="Q56" s="0" t="n">
        <v>3</v>
      </c>
      <c r="R56" s="0" t="n">
        <v>3</v>
      </c>
      <c r="S56" s="0" t="n">
        <v>2</v>
      </c>
      <c r="T56" s="0" t="n">
        <v>1</v>
      </c>
      <c r="U56" s="0" t="n">
        <v>1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4</v>
      </c>
      <c r="AA56" s="0" t="n">
        <v>2</v>
      </c>
      <c r="AB56" s="0" t="n">
        <v>2</v>
      </c>
      <c r="AC56" s="0">
        <f>=Y56+Z56+AA56+AB56</f>
        <v/>
      </c>
      <c r="AD56" s="0" t="n">
        <v>2</v>
      </c>
      <c r="AE56" s="0" t="n">
        <v>6</v>
      </c>
      <c r="AF56" s="0" t="n">
        <v>2</v>
      </c>
      <c r="AG56" s="0" t="n">
        <v>1</v>
      </c>
      <c r="AH56" s="0">
        <f>=AD56+AE56+AF56+AG56</f>
        <v/>
      </c>
      <c r="AI56" s="0">
        <f>=Q56+R56+S56+T56</f>
        <v/>
      </c>
      <c r="AJ56" s="0" t="n">
        <v>2</v>
      </c>
      <c r="AK56" s="0">
        <f>=U56</f>
        <v/>
      </c>
      <c r="AL56" s="0">
        <f>=AJ56+U56+V56+W56+X56</f>
        <v/>
      </c>
      <c r="AM56" s="0" t="n">
        <v>6.27</v>
      </c>
      <c r="AN56" s="0" t="n">
        <v>8.06</v>
      </c>
      <c r="AO56" s="0" t="n">
        <v>25</v>
      </c>
      <c r="AP56" s="0" t="n">
        <v>48</v>
      </c>
      <c r="AQ56" s="0">
        <f>=ROUND((MIN(AM56,10)/10*8)+(MIN(AN56,10)/10*6)+(MIN(AO56,10)/10*4)+(MIN(AP56,10)/10*2),2)</f>
        <v/>
      </c>
      <c r="AR56" s="0">
        <f>=IF(AQ56&gt;=67,"高",IF(AQ56&gt;=34,"中","低"))</f>
        <v/>
      </c>
      <c r="AS56" s="0">
        <f>=MIN(15,L56+M56)</f>
        <v/>
      </c>
      <c r="AT56" s="0" t="n">
        <v>3</v>
      </c>
      <c r="AU56" s="0" t="n">
        <v>2</v>
      </c>
      <c r="AV56" s="0" t="n">
        <v>3</v>
      </c>
      <c r="AW56" s="0">
        <f>=MIN(10,AT56+AU56+AV56)</f>
        <v/>
      </c>
      <c r="AX56" s="0" t="n">
        <v>2</v>
      </c>
      <c r="AY56" s="0" t="n">
        <v>1.4</v>
      </c>
      <c r="AZ56" s="0" t="n">
        <v>0.7</v>
      </c>
      <c r="BA56" s="0" t="n">
        <v>0.5</v>
      </c>
      <c r="BB56" s="0">
        <f>=ROUND((AX56/2*0.4 + AY56/1.5*0.3 + AZ56/1*0.2 + BA56/0.5*0.1)*100,2)</f>
        <v/>
      </c>
      <c r="BC56" s="0">
        <f>=ROUND(AC56+AH56+AI56+AL56+AQ56+AS56+AW56+(BB56/100*5),2)</f>
        <v/>
      </c>
      <c r="BD56" s="0">
        <f>=IF(BC56&lt;=20,"极弱",IF(BC56&lt;=40,"偏弱",IF(BC56&lt;=60,"中等",IF(BC56&lt;=80,"较强","卓越"))))</f>
        <v/>
      </c>
      <c r="BH56" s="0" t="inlineStr">
        <is>
          <t>视频号/快手</t>
        </is>
      </c>
    </row>
    <row r="57">
      <c r="A57" s="0" t="n">
        <v>56</v>
      </c>
      <c r="B57" s="0" t="inlineStr">
        <is>
          <t>重生后，我带着难产妻女分家了</t>
        </is>
      </c>
      <c r="C57" s="0" t="inlineStr">
        <is>
          <t>/Users/mr.hu/Desktop/爆款排名/11.4日剧本/新建文件夹/重生后，我带着难产妻女分家了.docx</t>
        </is>
      </c>
      <c r="E57" s="0" t="n">
        <v>23.64</v>
      </c>
      <c r="F57" s="0" t="n">
        <v>19</v>
      </c>
      <c r="G57" s="0">
        <f>=IF(E57&lt;=8,"15–20集",IF(E57&lt;=20,"20–30集","30–40集"))</f>
        <v/>
      </c>
      <c r="H57" s="0" t="inlineStr">
        <is>
          <t>男频</t>
        </is>
      </c>
      <c r="I57" s="0" t="inlineStr">
        <is>
          <t>古代</t>
        </is>
      </c>
      <c r="J57" s="0" t="inlineStr">
        <is>
          <t>家庭/婚恋</t>
        </is>
      </c>
      <c r="K57" s="0" t="inlineStr">
        <is>
          <t>古装群像</t>
        </is>
      </c>
      <c r="L57" s="0" t="n">
        <v>6</v>
      </c>
      <c r="M57" s="0" t="n">
        <v>7</v>
      </c>
      <c r="N57" s="0" t="inlineStr">
        <is>
          <t>男性/下沉/45+</t>
        </is>
      </c>
      <c r="O57" s="0" t="inlineStr">
        <is>
          <t>周末黄金</t>
        </is>
      </c>
      <c r="P57" s="0" t="inlineStr">
        <is>
          <t>知识信息量</t>
        </is>
      </c>
      <c r="Q57" s="0" t="n">
        <v>3</v>
      </c>
      <c r="R57" s="0" t="n">
        <v>3</v>
      </c>
      <c r="S57" s="0" t="n">
        <v>1</v>
      </c>
      <c r="T57" s="0" t="n">
        <v>1</v>
      </c>
      <c r="U57" s="0" t="n">
        <v>1</v>
      </c>
      <c r="V57" s="0" t="n">
        <v>2</v>
      </c>
      <c r="W57" s="0" t="n">
        <v>0</v>
      </c>
      <c r="X57" s="0" t="n">
        <v>1</v>
      </c>
      <c r="Y57" s="0" t="n">
        <v>1</v>
      </c>
      <c r="Z57" s="0" t="n">
        <v>4</v>
      </c>
      <c r="AA57" s="0" t="n">
        <v>2</v>
      </c>
      <c r="AB57" s="0" t="n">
        <v>2</v>
      </c>
      <c r="AC57" s="0">
        <f>=Y57+Z57+AA57+AB57</f>
        <v/>
      </c>
      <c r="AD57" s="0" t="n">
        <v>3</v>
      </c>
      <c r="AE57" s="0" t="n">
        <v>3</v>
      </c>
      <c r="AF57" s="0" t="n">
        <v>3</v>
      </c>
      <c r="AG57" s="0" t="n">
        <v>0</v>
      </c>
      <c r="AH57" s="0">
        <f>=AD57+AE57+AF57+AG57</f>
        <v/>
      </c>
      <c r="AI57" s="0">
        <f>=Q57+R57+S57+T57</f>
        <v/>
      </c>
      <c r="AJ57" s="0" t="n">
        <v>2</v>
      </c>
      <c r="AK57" s="0">
        <f>=U57</f>
        <v/>
      </c>
      <c r="AL57" s="0">
        <f>=AJ57+U57+V57+W57+X57</f>
        <v/>
      </c>
      <c r="AM57" s="0" t="n">
        <v>5.08</v>
      </c>
      <c r="AN57" s="0" t="n">
        <v>3.81</v>
      </c>
      <c r="AO57" s="0" t="n">
        <v>25</v>
      </c>
      <c r="AP57" s="0" t="n">
        <v>12</v>
      </c>
      <c r="AQ57" s="0">
        <f>=ROUND((MIN(AM57,10)/10*8)+(MIN(AN57,10)/10*6)+(MIN(AO57,10)/10*4)+(MIN(AP57,10)/10*2),2)</f>
        <v/>
      </c>
      <c r="AR57" s="0">
        <f>=IF(AQ57&gt;=67,"高",IF(AQ57&gt;=34,"中","低"))</f>
        <v/>
      </c>
      <c r="AS57" s="0">
        <f>=MIN(15,L57+M57)</f>
        <v/>
      </c>
      <c r="AT57" s="0" t="n">
        <v>3</v>
      </c>
      <c r="AU57" s="0" t="n">
        <v>2</v>
      </c>
      <c r="AV57" s="0" t="n">
        <v>2</v>
      </c>
      <c r="AW57" s="0">
        <f>=MIN(10,AT57+AU57+AV57)</f>
        <v/>
      </c>
      <c r="AX57" s="0" t="n">
        <v>2</v>
      </c>
      <c r="AY57" s="0" t="n">
        <v>1.5</v>
      </c>
      <c r="AZ57" s="0" t="n">
        <v>0.85</v>
      </c>
      <c r="BA57" s="0" t="n">
        <v>0.5</v>
      </c>
      <c r="BB57" s="0">
        <f>=ROUND((AX57/2*0.4 + AY57/1.5*0.3 + AZ57/1*0.2 + BA57/0.5*0.1)*100,2)</f>
        <v/>
      </c>
      <c r="BC57" s="0">
        <f>=ROUND(AC57+AH57+AI57+AL57+AQ57+AS57+AW57+(BB57/100*5),2)</f>
        <v/>
      </c>
      <c r="BD57" s="0">
        <f>=IF(BC57&lt;=20,"极弱",IF(BC57&lt;=40,"偏弱",IF(BC57&lt;=60,"中等",IF(BC57&lt;=80,"较强","卓越"))))</f>
        <v/>
      </c>
      <c r="BH57" s="0" t="inlineStr">
        <is>
          <t>视频号/快手</t>
        </is>
      </c>
    </row>
    <row r="58">
      <c r="A58" s="0" t="n">
        <v>57</v>
      </c>
      <c r="B58" s="0" t="inlineStr">
        <is>
          <t>饥荒古代，系统送我两老婆</t>
        </is>
      </c>
      <c r="C58" s="0" t="inlineStr">
        <is>
          <t>/Users/mr.hu/Desktop/爆款排名/11.4日剧本/新建文件夹/饥荒古代，系统送我两老婆.docx</t>
        </is>
      </c>
      <c r="E58" s="0" t="n">
        <v>17.06</v>
      </c>
      <c r="F58" s="0" t="n">
        <v>14</v>
      </c>
      <c r="G58" s="0">
        <f>=IF(E58&lt;=8,"15–20集",IF(E58&lt;=20,"20–30集","30–40集"))</f>
        <v/>
      </c>
      <c r="H58" s="0" t="inlineStr">
        <is>
          <t>男频</t>
        </is>
      </c>
      <c r="I58" s="0" t="inlineStr">
        <is>
          <t>现代</t>
        </is>
      </c>
      <c r="J58" s="0" t="inlineStr">
        <is>
          <t>职场/商战</t>
        </is>
      </c>
      <c r="K58" s="0" t="inlineStr">
        <is>
          <t>写实都市</t>
        </is>
      </c>
      <c r="L58" s="0" t="n">
        <v>6</v>
      </c>
      <c r="M58" s="0" t="n">
        <v>7</v>
      </c>
      <c r="N58" s="0" t="inlineStr">
        <is>
          <t>男性/下沉/18–35</t>
        </is>
      </c>
      <c r="O58" s="0" t="inlineStr">
        <is>
          <t>周末黄金</t>
        </is>
      </c>
      <c r="P58" s="0" t="inlineStr">
        <is>
          <t>反转爽点</t>
        </is>
      </c>
      <c r="Q58" s="0" t="n">
        <v>3</v>
      </c>
      <c r="R58" s="0" t="n">
        <v>2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4</v>
      </c>
      <c r="AA58" s="0" t="n">
        <v>0</v>
      </c>
      <c r="AB58" s="0" t="n">
        <v>2</v>
      </c>
      <c r="AC58" s="0">
        <f>=Y58+Z58+AA58+AB58</f>
        <v/>
      </c>
      <c r="AD58" s="0" t="n">
        <v>1</v>
      </c>
      <c r="AE58" s="0" t="n">
        <v>5</v>
      </c>
      <c r="AF58" s="0" t="n">
        <v>2</v>
      </c>
      <c r="AG58" s="0" t="n">
        <v>0</v>
      </c>
      <c r="AH58" s="0">
        <f>=AD58+AE58+AF58+AG58</f>
        <v/>
      </c>
      <c r="AI58" s="0">
        <f>=Q58+R58+S58+T58</f>
        <v/>
      </c>
      <c r="AJ58" s="0" t="n">
        <v>2</v>
      </c>
      <c r="AK58" s="0">
        <f>=U58</f>
        <v/>
      </c>
      <c r="AL58" s="0">
        <f>=AJ58+U58+V58+W58+X58</f>
        <v/>
      </c>
      <c r="AM58" s="0" t="n">
        <v>4.69</v>
      </c>
      <c r="AN58" s="0" t="n">
        <v>10.55</v>
      </c>
      <c r="AO58" s="0" t="n">
        <v>0</v>
      </c>
      <c r="AP58" s="0" t="n">
        <v>12</v>
      </c>
      <c r="AQ58" s="0">
        <f>=ROUND((MIN(AM58,10)/10*8)+(MIN(AN58,10)/10*6)+(MIN(AO58,10)/10*4)+(MIN(AP58,10)/10*2),2)</f>
        <v/>
      </c>
      <c r="AR58" s="0">
        <f>=IF(AQ58&gt;=67,"高",IF(AQ58&gt;=34,"中","低"))</f>
        <v/>
      </c>
      <c r="AS58" s="0">
        <f>=MIN(15,L58+M58)</f>
        <v/>
      </c>
      <c r="AT58" s="0" t="n">
        <v>3</v>
      </c>
      <c r="AU58" s="0" t="n">
        <v>2</v>
      </c>
      <c r="AV58" s="0" t="n">
        <v>2</v>
      </c>
      <c r="AW58" s="0">
        <f>=MIN(10,AT58+AU58+AV58)</f>
        <v/>
      </c>
      <c r="AX58" s="0" t="n">
        <v>2</v>
      </c>
      <c r="AY58" s="0" t="n">
        <v>1</v>
      </c>
      <c r="AZ58" s="0" t="n">
        <v>0.85</v>
      </c>
      <c r="BA58" s="0" t="n">
        <v>0.5</v>
      </c>
      <c r="BB58" s="0">
        <f>=ROUND((AX58/2*0.4 + AY58/1.5*0.3 + AZ58/1*0.2 + BA58/0.5*0.1)*100,2)</f>
        <v/>
      </c>
      <c r="BC58" s="0">
        <f>=ROUND(AC58+AH58+AI58+AL58+AQ58+AS58+AW58+(BB58/100*5),2)</f>
        <v/>
      </c>
      <c r="BD58" s="0">
        <f>=IF(BC58&lt;=20,"极弱",IF(BC58&lt;=40,"偏弱",IF(BC58&lt;=60,"中等",IF(BC58&lt;=80,"较强","卓越"))))</f>
        <v/>
      </c>
      <c r="BH58" s="0" t="inlineStr">
        <is>
          <t>视频号/快手</t>
        </is>
      </c>
    </row>
    <row r="59">
      <c r="A59" s="0" t="n">
        <v>58</v>
      </c>
      <c r="B59" s="0" t="inlineStr">
        <is>
          <t>饥荒年，我用神笔画出万亩良田</t>
        </is>
      </c>
      <c r="C59" s="0" t="inlineStr">
        <is>
          <t>/Users/mr.hu/Desktop/爆款排名/11.4日剧本/新建文件夹/饥荒年，我用神笔画出万亩良田.docx</t>
        </is>
      </c>
      <c r="E59" s="0" t="n">
        <v>46.1</v>
      </c>
      <c r="F59" s="0" t="n">
        <v>38</v>
      </c>
      <c r="G59" s="0">
        <f>=IF(E59&lt;=8,"15–20集",IF(E59&lt;=20,"20–30集","30–40集"))</f>
        <v/>
      </c>
      <c r="H59" s="0" t="inlineStr">
        <is>
          <t>男频</t>
        </is>
      </c>
      <c r="I59" s="0" t="inlineStr">
        <is>
          <t>科幻/奇幻</t>
        </is>
      </c>
      <c r="J59" s="0" t="inlineStr">
        <is>
          <t>职场/商战</t>
        </is>
      </c>
      <c r="K59" s="0" t="inlineStr">
        <is>
          <t>写实都市</t>
        </is>
      </c>
      <c r="L59" s="0" t="n">
        <v>5</v>
      </c>
      <c r="M59" s="0" t="n">
        <v>5</v>
      </c>
      <c r="N59" s="0" t="inlineStr">
        <is>
          <t>男性/下沉/45+</t>
        </is>
      </c>
      <c r="O59" s="0" t="inlineStr">
        <is>
          <t>周末黄金</t>
        </is>
      </c>
      <c r="P59" s="0" t="inlineStr">
        <is>
          <t>反转爽点</t>
        </is>
      </c>
      <c r="Q59" s="0" t="n">
        <v>3</v>
      </c>
      <c r="R59" s="0" t="n">
        <v>3</v>
      </c>
      <c r="S59" s="0" t="n">
        <v>3</v>
      </c>
      <c r="T59" s="0" t="n">
        <v>1</v>
      </c>
      <c r="U59" s="0" t="n">
        <v>2</v>
      </c>
      <c r="V59" s="0" t="n">
        <v>2</v>
      </c>
      <c r="W59" s="0" t="n">
        <v>1</v>
      </c>
      <c r="X59" s="0" t="n">
        <v>0</v>
      </c>
      <c r="Y59" s="0" t="n">
        <v>1</v>
      </c>
      <c r="Z59" s="0" t="n">
        <v>4</v>
      </c>
      <c r="AA59" s="0" t="n">
        <v>2</v>
      </c>
      <c r="AB59" s="0" t="n">
        <v>2</v>
      </c>
      <c r="AC59" s="0">
        <f>=Y59+Z59+AA59+AB59</f>
        <v/>
      </c>
      <c r="AD59" s="0" t="n">
        <v>2</v>
      </c>
      <c r="AE59" s="0" t="n">
        <v>6</v>
      </c>
      <c r="AF59" s="0" t="n">
        <v>2</v>
      </c>
      <c r="AG59" s="0" t="n">
        <v>1</v>
      </c>
      <c r="AH59" s="0">
        <f>=AD59+AE59+AF59+AG59</f>
        <v/>
      </c>
      <c r="AI59" s="0">
        <f>=Q59+R59+S59+T59</f>
        <v/>
      </c>
      <c r="AJ59" s="0" t="n">
        <v>3</v>
      </c>
      <c r="AK59" s="0">
        <f>=U59</f>
        <v/>
      </c>
      <c r="AL59" s="0">
        <f>=AJ59+U59+V59+W59+X59</f>
        <v/>
      </c>
      <c r="AM59" s="0" t="n">
        <v>5.64</v>
      </c>
      <c r="AN59" s="0" t="n">
        <v>10.41</v>
      </c>
      <c r="AO59" s="0" t="n">
        <v>25</v>
      </c>
      <c r="AP59" s="0" t="n">
        <v>12</v>
      </c>
      <c r="AQ59" s="0">
        <f>=ROUND((MIN(AM59,10)/10*8)+(MIN(AN59,10)/10*6)+(MIN(AO59,10)/10*4)+(MIN(AP59,10)/10*2),2)</f>
        <v/>
      </c>
      <c r="AR59" s="0">
        <f>=IF(AQ59&gt;=67,"高",IF(AQ59&gt;=34,"中","低"))</f>
        <v/>
      </c>
      <c r="AS59" s="0">
        <f>=MIN(15,L59+M59)</f>
        <v/>
      </c>
      <c r="AT59" s="0" t="n">
        <v>3</v>
      </c>
      <c r="AU59" s="0" t="n">
        <v>2</v>
      </c>
      <c r="AV59" s="0" t="n">
        <v>2</v>
      </c>
      <c r="AW59" s="0">
        <f>=MIN(10,AT59+AU59+AV59)</f>
        <v/>
      </c>
      <c r="AX59" s="0" t="n">
        <v>2</v>
      </c>
      <c r="AY59" s="0" t="n">
        <v>1.5</v>
      </c>
      <c r="AZ59" s="0" t="n">
        <v>0.6607142857142858</v>
      </c>
      <c r="BA59" s="0" t="n">
        <v>0.09999999999999998</v>
      </c>
      <c r="BB59" s="0">
        <f>=ROUND((AX59/2*0.4 + AY59/1.5*0.3 + AZ59/1*0.2 + BA59/0.5*0.1)*100,2)</f>
        <v/>
      </c>
      <c r="BC59" s="0">
        <f>=ROUND(AC59+AH59+AI59+AL59+AQ59+AS59+AW59+(BB59/100*5),2)</f>
        <v/>
      </c>
      <c r="BD59" s="0">
        <f>=IF(BC59&lt;=20,"极弱",IF(BC59&lt;=40,"偏弱",IF(BC59&lt;=60,"中等",IF(BC59&lt;=80,"较强","卓越"))))</f>
        <v/>
      </c>
      <c r="BH59" s="0" t="inlineStr">
        <is>
          <t>视频号/快手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7"/>
  <sheetViews>
    <sheetView tabSelected="1" workbookViewId="0">
      <selection activeCell="BF15" sqref="BF15"/>
    </sheetView>
  </sheetViews>
  <sheetFormatPr baseColWidth="8" defaultColWidth="9" defaultRowHeight="15.2"/>
  <sheetData>
    <row r="1">
      <c r="A1" s="0" t="inlineStr">
        <is>
          <t>序号</t>
        </is>
      </c>
      <c r="B1" s="0" t="inlineStr">
        <is>
          <t>剧本名</t>
        </is>
      </c>
      <c r="C1" s="0" t="inlineStr">
        <is>
          <t>剧本URL</t>
        </is>
      </c>
      <c r="D1" s="0" t="inlineStr">
        <is>
          <t>全文（粘贴）</t>
        </is>
      </c>
      <c r="E1" s="0" t="inlineStr">
        <is>
          <t>字数（千字）</t>
        </is>
      </c>
      <c r="F1" s="0" t="inlineStr">
        <is>
          <t>页数</t>
        </is>
      </c>
      <c r="G1" s="0" t="inlineStr">
        <is>
          <t>建议集数</t>
        </is>
      </c>
      <c r="H1" s="0" t="inlineStr">
        <is>
          <t>倾向</t>
        </is>
      </c>
      <c r="I1" s="0" t="inlineStr">
        <is>
          <t>时代背景</t>
        </is>
      </c>
      <c r="J1" s="0" t="inlineStr">
        <is>
          <t>主题</t>
        </is>
      </c>
      <c r="K1" s="0" t="inlineStr">
        <is>
          <t>导演（风格建议）</t>
        </is>
      </c>
      <c r="L1" s="0" t="inlineStr">
        <is>
          <t>场景数量与内外景占比</t>
        </is>
      </c>
      <c r="M1" s="0" t="inlineStr">
        <is>
          <t>演员数量结构</t>
        </is>
      </c>
      <c r="N1" s="0" t="inlineStr">
        <is>
          <t>受众定位</t>
        </is>
      </c>
      <c r="O1" s="0" t="inlineStr">
        <is>
          <t>上线时间</t>
        </is>
      </c>
      <c r="P1" s="0" t="inlineStr">
        <is>
          <t>营销方向</t>
        </is>
      </c>
      <c r="Q1" s="0" t="inlineStr">
        <is>
          <t>类型覆盖</t>
        </is>
      </c>
      <c r="R1" s="0" t="inlineStr">
        <is>
          <t>升级曲线</t>
        </is>
      </c>
      <c r="S1" s="0" t="inlineStr">
        <is>
          <t>风险与代价</t>
        </is>
      </c>
      <c r="T1" s="0" t="inlineStr">
        <is>
          <t>解决策略多样性</t>
        </is>
      </c>
      <c r="U1" s="0" t="inlineStr">
        <is>
          <t>信息密度</t>
        </is>
      </c>
      <c r="V1" s="0" t="inlineStr">
        <is>
          <t>金句率与记忆点</t>
        </is>
      </c>
      <c r="W1" s="0" t="inlineStr">
        <is>
          <t>生活化/专业度</t>
        </is>
      </c>
      <c r="X1" s="0" t="inlineStr">
        <is>
          <t>价值观与合规</t>
        </is>
      </c>
      <c r="Y1" s="0" t="inlineStr">
        <is>
          <t>起承转合完整度</t>
        </is>
      </c>
      <c r="Z1" s="0" t="inlineStr">
        <is>
          <t>转折密度</t>
        </is>
      </c>
      <c r="AA1" s="0" t="inlineStr">
        <is>
          <t>悬念闭合率</t>
        </is>
      </c>
      <c r="AB1" s="0" t="inlineStr">
        <is>
          <t>节奏均衡度</t>
        </is>
      </c>
      <c r="AC1" s="0" t="inlineStr">
        <is>
          <t>剧情结构（得分）</t>
        </is>
      </c>
      <c r="AD1" s="0" t="inlineStr">
        <is>
          <t>目标-动机-障碍</t>
        </is>
      </c>
      <c r="AE1" s="0" t="inlineStr">
        <is>
          <t>弧光与反差</t>
        </is>
      </c>
      <c r="AF1" s="0" t="inlineStr">
        <is>
          <t>关系网复杂度</t>
        </is>
      </c>
      <c r="AG1" s="0" t="inlineStr">
        <is>
          <t>记忆点</t>
        </is>
      </c>
      <c r="AH1" s="0" t="inlineStr">
        <is>
          <t>角色塑造（得分）</t>
        </is>
      </c>
      <c r="AI1" s="0" t="inlineStr">
        <is>
          <t>冲突设置（得分）</t>
        </is>
      </c>
      <c r="AJ1" s="0" t="inlineStr">
        <is>
          <t>人设匹配</t>
        </is>
      </c>
      <c r="AK1" s="0" t="inlineStr">
        <is>
          <t>信息密度（副本，仅用于台词计算）</t>
        </is>
      </c>
      <c r="AL1" s="0" t="inlineStr">
        <is>
          <t>台词质量（得分）</t>
        </is>
      </c>
      <c r="AM1" s="0" t="inlineStr">
        <is>
          <t>人物饱满度｜关键词权重</t>
        </is>
      </c>
      <c r="AN1" s="0" t="inlineStr">
        <is>
          <t>人物饱满度｜连接词权重</t>
        </is>
      </c>
      <c r="AO1" s="0" t="inlineStr">
        <is>
          <t>人物饱满度｜反差词对</t>
        </is>
      </c>
      <c r="AP1" s="0" t="inlineStr">
        <is>
          <t>人物饱满度｜事件层级与弧光</t>
        </is>
      </c>
      <c r="AQ1" s="0" t="inlineStr">
        <is>
          <t>人物饱满度（得分）</t>
        </is>
      </c>
      <c r="AR1" s="0" t="inlineStr">
        <is>
          <t>人物饱满度标签</t>
        </is>
      </c>
      <c r="AS1" s="0" t="inlineStr">
        <is>
          <t>制作（得分）</t>
        </is>
      </c>
      <c r="AT1" s="0" t="inlineStr">
        <is>
          <t>宣发（受众定位分）</t>
        </is>
      </c>
      <c r="AU1" s="0" t="inlineStr">
        <is>
          <t>宣发（上线时间分）</t>
        </is>
      </c>
      <c r="AV1" s="0" t="inlineStr">
        <is>
          <t>宣发（营销方向分）</t>
        </is>
      </c>
      <c r="AW1" s="0" t="inlineStr">
        <is>
          <t>宣发（得分）</t>
        </is>
      </c>
      <c r="AX1" s="0" t="inlineStr">
        <is>
          <t>商业价值｜题材热度</t>
        </is>
      </c>
      <c r="AY1" s="0" t="inlineStr">
        <is>
          <t>商业价值｜传播因子</t>
        </is>
      </c>
      <c r="AZ1" s="0" t="inlineStr">
        <is>
          <t>商业价值｜可生产性</t>
        </is>
      </c>
      <c r="BA1" s="0" t="inlineStr">
        <is>
          <t>商业价值｜合规风险</t>
        </is>
      </c>
      <c r="BB1" s="0" t="inlineStr">
        <is>
          <t>商业价值指数</t>
        </is>
      </c>
      <c r="BC1" s="0" t="inlineStr">
        <is>
          <t>总分</t>
        </is>
      </c>
      <c r="BD1" s="0" t="inlineStr">
        <is>
          <t>评分等级</t>
        </is>
      </c>
      <c r="BE1" s="0" t="inlineStr">
        <is>
          <t>备注</t>
        </is>
      </c>
      <c r="BF1" s="0" t="inlineStr">
        <is>
          <t>评估人</t>
        </is>
      </c>
      <c r="BG1" s="0" t="inlineStr">
        <is>
          <t>评估日期</t>
        </is>
      </c>
      <c r="BH1" s="0" t="inlineStr">
        <is>
          <t>平台推荐</t>
        </is>
      </c>
      <c r="BI1" s="0" t="inlineStr">
        <is>
          <t>版本号</t>
        </is>
      </c>
    </row>
    <row r="2">
      <c r="D2" s="0" t="inlineStr"/>
      <c r="E2" s="0" t="n">
        <v>21.85</v>
      </c>
      <c r="F2" s="0" t="n">
        <v>18</v>
      </c>
      <c r="G2" s="0">
        <f>IF(E2&lt;=8,"15–20集",IF(E2&lt;=20,"20–30集","30–40集"))</f>
        <v/>
      </c>
      <c r="H2" s="0" t="inlineStr">
        <is>
          <t>男频</t>
        </is>
      </c>
      <c r="I2" s="0" t="inlineStr">
        <is>
          <t>古代</t>
        </is>
      </c>
      <c r="J2" s="0" t="inlineStr">
        <is>
          <t>古代权谋/科举</t>
        </is>
      </c>
      <c r="K2" s="0" t="inlineStr">
        <is>
          <t>武侠动作</t>
        </is>
      </c>
      <c r="L2" s="0" t="n">
        <v>4</v>
      </c>
      <c r="M2" s="0" t="n">
        <v>7</v>
      </c>
      <c r="N2" s="0" t="inlineStr">
        <is>
          <t>男性/一二线/45+</t>
        </is>
      </c>
      <c r="O2" s="0" t="inlineStr">
        <is>
          <t>节假日前后</t>
        </is>
      </c>
      <c r="P2" s="0" t="inlineStr">
        <is>
          <t>反转爽点</t>
        </is>
      </c>
      <c r="Q2" s="0" t="n">
        <v>3</v>
      </c>
      <c r="R2" s="0" t="n">
        <v>3</v>
      </c>
      <c r="S2" s="0" t="n">
        <v>1</v>
      </c>
      <c r="T2" s="0" t="n">
        <v>1</v>
      </c>
      <c r="U2" s="0" t="n">
        <v>1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4</v>
      </c>
      <c r="AA2" s="0" t="n">
        <v>2</v>
      </c>
      <c r="AB2" s="0" t="n">
        <v>2</v>
      </c>
      <c r="AC2" s="0">
        <f>MIN(15,SUM(Y2:AB2))</f>
        <v/>
      </c>
      <c r="AD2" s="0" t="n">
        <v>4</v>
      </c>
      <c r="AE2" s="0" t="n">
        <v>4</v>
      </c>
      <c r="AF2" s="0" t="n">
        <v>2</v>
      </c>
      <c r="AG2" s="0" t="n">
        <v>1</v>
      </c>
      <c r="AH2" s="0">
        <f>MIN(15,SUM(AD2:AG2))</f>
        <v/>
      </c>
      <c r="AI2" s="0">
        <f>MIN(10,SUM(Q2:T2))</f>
        <v/>
      </c>
      <c r="AJ2" s="0" t="n">
        <v>3</v>
      </c>
      <c r="AK2" s="0">
        <f>U2</f>
        <v/>
      </c>
      <c r="AL2" s="0">
        <f>MIN(10,AJ2+U2+V2+W2+X2)</f>
        <v/>
      </c>
      <c r="AM2" s="0" t="n">
        <v>3.66</v>
      </c>
      <c r="AN2" s="0" t="n">
        <v>4.12</v>
      </c>
      <c r="AO2" s="0" t="n">
        <v>0</v>
      </c>
      <c r="AP2" s="0" t="n">
        <v>12</v>
      </c>
      <c r="AQ2" s="0">
        <f>ROUND((MIN(AM2,10)/10*8)+(MIN(AN2,10)/10*6)+(MIN(AO2,10)/10*4)+(MIN(AP2,10)/10*2),2)</f>
        <v/>
      </c>
      <c r="AR2" s="0">
        <f>IF(AQ2&gt;=67,"高",IF(AQ2&gt;=34,"中","低"))</f>
        <v/>
      </c>
      <c r="AS2" s="0">
        <f>MIN(15,L2+M2)</f>
        <v/>
      </c>
      <c r="AT2" s="0" t="n">
        <v>3</v>
      </c>
      <c r="AU2" s="0" t="n">
        <v>2</v>
      </c>
      <c r="AV2" s="0" t="n">
        <v>2</v>
      </c>
      <c r="AW2" s="0">
        <f>MIN(10,AT2+AU2+AV2)</f>
        <v/>
      </c>
      <c r="AX2" s="0" t="n">
        <v>2</v>
      </c>
      <c r="AY2" s="0" t="n">
        <v>0.65</v>
      </c>
      <c r="AZ2" s="0" t="n">
        <v>0.7</v>
      </c>
      <c r="BA2" s="0" t="n">
        <v>0.5</v>
      </c>
      <c r="BB2" s="0">
        <f>ROUND((AX2/2*0.4+AY2/1.5*0.3+AZ2/1*0.2+BA2/0.5*0.1)*100,2)</f>
        <v/>
      </c>
      <c r="BC2" s="0">
        <f>ROUND(AC2+AH2+AI2+AL2+AQ2+AS2+AW2+(BB2/100*5),2)</f>
        <v/>
      </c>
      <c r="BD2" s="0">
        <f>IF(BC2&lt;=20,"极弱",IF(BC2&lt;=40,"偏弱",IF(BC2&lt;=60,"中等",IF(BC2&lt;=80,"较强","卓越"))))</f>
        <v/>
      </c>
      <c r="BE2" s="0" t="inlineStr"/>
      <c r="BF2" s="0" t="inlineStr"/>
      <c r="BG2" s="0">
        <f>TODAY()</f>
        <v/>
      </c>
      <c r="BH2" s="0" t="inlineStr">
        <is>
          <t>抖音/快手</t>
        </is>
      </c>
      <c r="BI2" s="0" t="inlineStr">
        <is>
          <t>v1.0</t>
        </is>
      </c>
    </row>
    <row r="3">
      <c r="A3" s="0" t="n">
        <v>1</v>
      </c>
      <c r="B3" s="0" t="inlineStr">
        <is>
          <t>七零，我的老婆是资本家大小姐1</t>
        </is>
      </c>
      <c r="C3" s="0" t="inlineStr">
        <is>
          <t>/Users/mr.hu/Desktop/爆款排名/11.3日剧本/七零，我的老婆是资本家大小姐1.docx</t>
        </is>
      </c>
      <c r="E3" s="0" t="n">
        <v>29.38</v>
      </c>
      <c r="F3" s="0" t="n">
        <v>24</v>
      </c>
      <c r="G3" s="0">
        <f>IF(E3&lt;=8,"15–20集",IF(E3&lt;=20,"20–30集","30–40集"))</f>
        <v/>
      </c>
      <c r="H3" s="0" t="inlineStr">
        <is>
          <t>男频</t>
        </is>
      </c>
      <c r="I3" s="0" t="inlineStr">
        <is>
          <t>科幻/奇幻</t>
        </is>
      </c>
      <c r="J3" s="0" t="inlineStr">
        <is>
          <t>职场/商战</t>
        </is>
      </c>
      <c r="K3" s="0" t="inlineStr">
        <is>
          <t>写实都市</t>
        </is>
      </c>
      <c r="L3" s="0" t="n">
        <v>5</v>
      </c>
      <c r="M3" s="0" t="n">
        <v>7</v>
      </c>
      <c r="N3" s="0" t="inlineStr">
        <is>
          <t>男性/下沉/45+</t>
        </is>
      </c>
      <c r="O3" s="0" t="inlineStr">
        <is>
          <t>周末黄金</t>
        </is>
      </c>
      <c r="P3" s="0" t="inlineStr">
        <is>
          <t>反转爽点</t>
        </is>
      </c>
      <c r="Q3" s="0" t="n">
        <v>3</v>
      </c>
      <c r="R3" s="0" t="n">
        <v>3</v>
      </c>
      <c r="S3" s="0" t="n">
        <v>1</v>
      </c>
      <c r="T3" s="0" t="n">
        <v>1</v>
      </c>
      <c r="U3" s="0" t="n">
        <v>1</v>
      </c>
      <c r="V3" s="0" t="n">
        <v>2</v>
      </c>
      <c r="W3" s="0" t="n">
        <v>1</v>
      </c>
      <c r="X3" s="0" t="n">
        <v>1</v>
      </c>
      <c r="Y3" s="0" t="n">
        <v>1</v>
      </c>
      <c r="Z3" s="0" t="n">
        <v>4</v>
      </c>
      <c r="AA3" s="0" t="n">
        <v>2</v>
      </c>
      <c r="AB3" s="0" t="n">
        <v>1</v>
      </c>
      <c r="AC3" s="0">
        <f>Y3+Z3+AA3+AB3</f>
        <v/>
      </c>
      <c r="AD3" s="0" t="n">
        <v>4</v>
      </c>
      <c r="AE3" s="0" t="n">
        <v>6</v>
      </c>
      <c r="AF3" s="0" t="n">
        <v>3</v>
      </c>
      <c r="AG3" s="0" t="n">
        <v>1</v>
      </c>
      <c r="AH3" s="0">
        <f>AD3+AE3+AF3+AG3</f>
        <v/>
      </c>
      <c r="AI3" s="0">
        <f>Q3+R3+S3+T3</f>
        <v/>
      </c>
      <c r="AJ3" s="0" t="n">
        <v>3</v>
      </c>
      <c r="AL3" s="0">
        <f>AJ3+U3+V3+W3+X3</f>
        <v/>
      </c>
      <c r="AM3" s="0" t="n">
        <v>2.72</v>
      </c>
      <c r="AN3" s="0" t="n">
        <v>14.3</v>
      </c>
      <c r="AO3" s="0" t="n">
        <v>25</v>
      </c>
      <c r="AP3" s="0" t="n">
        <v>24</v>
      </c>
      <c r="AQ3" s="0">
        <f>ROUND((MIN(AM3,10)/10*8)+(MIN(AN3,10)/10*6)+(MIN(AO3,10)/10*4)+(MIN(AP3,10)/10*2),2)</f>
        <v/>
      </c>
      <c r="AS3" s="0">
        <f>L3+M3</f>
        <v/>
      </c>
      <c r="AT3" s="0" t="n">
        <v>3</v>
      </c>
      <c r="AU3" s="0" t="n">
        <v>2</v>
      </c>
      <c r="AV3" s="0" t="n">
        <v>2</v>
      </c>
      <c r="AW3" s="0">
        <f>MIN(10,AT3+AU3+AV3)</f>
        <v/>
      </c>
      <c r="AX3" s="0" t="n">
        <v>2</v>
      </c>
      <c r="AY3" s="0" t="n">
        <v>1.5</v>
      </c>
      <c r="AZ3" s="0" t="n">
        <v>0.775</v>
      </c>
      <c r="BA3" s="0" t="n">
        <v>0.5</v>
      </c>
      <c r="BB3" s="0">
        <f>ROUND((AX3/2*0.4+AY3/1.5*0.3+AZ3/1*0.2+BA3/0.5*0.1)*100,2)</f>
        <v/>
      </c>
      <c r="BC3" s="0">
        <f>ROUND(AC3+AH3+AI3+AL3+AQ3+AS3+AW3+(BB3/100*5),2)</f>
        <v/>
      </c>
      <c r="BD3" s="0">
        <f>IF(BC3&lt;=20,"极弱",IF(BC3&lt;=40,"偏弱",IF(BC3&lt;=60,"中等",IF(BC3&lt;=80,"较强","卓越"))))</f>
        <v/>
      </c>
      <c r="BH3" s="0" t="inlineStr">
        <is>
          <t>视频号/快手</t>
        </is>
      </c>
    </row>
    <row r="4">
      <c r="A4" s="0" t="n">
        <v>2</v>
      </c>
      <c r="B4" s="0" t="inlineStr">
        <is>
          <t>不当冤种，教老婆一家重新做人1</t>
        </is>
      </c>
      <c r="C4" s="0" t="inlineStr">
        <is>
          <t>/Users/mr.hu/Desktop/爆款排名/11.3日剧本/不当冤种，教老婆一家重新做人1.docx</t>
        </is>
      </c>
      <c r="E4" s="0" t="n">
        <v>19.53</v>
      </c>
      <c r="F4" s="0" t="n">
        <v>16</v>
      </c>
      <c r="G4" s="0">
        <f>IF(E4&lt;=8,"15–20集",IF(E4&lt;=20,"20–30集","30–40集"))</f>
        <v/>
      </c>
      <c r="H4" s="0" t="inlineStr">
        <is>
          <t>男频</t>
        </is>
      </c>
      <c r="I4" s="0" t="inlineStr">
        <is>
          <t>科幻/奇幻</t>
        </is>
      </c>
      <c r="J4" s="0" t="inlineStr">
        <is>
          <t>职场/商战</t>
        </is>
      </c>
      <c r="K4" s="0" t="inlineStr">
        <is>
          <t>写实都市</t>
        </is>
      </c>
      <c r="L4" s="0" t="n">
        <v>6</v>
      </c>
      <c r="M4" s="0" t="n">
        <v>7</v>
      </c>
      <c r="N4" s="0" t="inlineStr">
        <is>
          <t>男性/下沉/18–35</t>
        </is>
      </c>
      <c r="O4" s="0" t="inlineStr">
        <is>
          <t>节假日前后</t>
        </is>
      </c>
      <c r="P4" s="0" t="inlineStr">
        <is>
          <t>知识信息量</t>
        </is>
      </c>
      <c r="Q4" s="0" t="n">
        <v>3</v>
      </c>
      <c r="R4" s="0" t="n">
        <v>1</v>
      </c>
      <c r="S4" s="0" t="n">
        <v>3</v>
      </c>
      <c r="T4" s="0" t="n">
        <v>0</v>
      </c>
      <c r="U4" s="0" t="n">
        <v>1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4</v>
      </c>
      <c r="AA4" s="0" t="n">
        <v>2</v>
      </c>
      <c r="AB4" s="0" t="n">
        <v>2</v>
      </c>
      <c r="AC4" s="0">
        <f>Y4+Z4+AA4+AB4</f>
        <v/>
      </c>
      <c r="AD4" s="0" t="n">
        <v>4</v>
      </c>
      <c r="AE4" s="0" t="n">
        <v>3</v>
      </c>
      <c r="AF4" s="0" t="n">
        <v>2</v>
      </c>
      <c r="AG4" s="0" t="n">
        <v>1</v>
      </c>
      <c r="AH4" s="0">
        <f>AD4+AE4+AF4+AG4</f>
        <v/>
      </c>
      <c r="AI4" s="0">
        <f>Q4+R4+S4+T4</f>
        <v/>
      </c>
      <c r="AJ4" s="0" t="n">
        <v>3</v>
      </c>
      <c r="AL4" s="0">
        <f>AJ4+U4+V4+W4+X4</f>
        <v/>
      </c>
      <c r="AM4" s="0" t="n">
        <v>2.05</v>
      </c>
      <c r="AN4" s="0" t="n">
        <v>1.54</v>
      </c>
      <c r="AO4" s="0" t="n">
        <v>0</v>
      </c>
      <c r="AP4" s="0" t="n">
        <v>0</v>
      </c>
      <c r="AQ4" s="0">
        <f>ROUND((MIN(AM4,10)/10*8)+(MIN(AN4,10)/10*6)+(MIN(AO4,10)/10*4)+(MIN(AP4,10)/10*2),2)</f>
        <v/>
      </c>
      <c r="AS4" s="0">
        <f>L4+M4</f>
        <v/>
      </c>
      <c r="AT4" s="0" t="n">
        <v>3</v>
      </c>
      <c r="AU4" s="0" t="n">
        <v>2</v>
      </c>
      <c r="AV4" s="0" t="n">
        <v>2</v>
      </c>
      <c r="AW4" s="0">
        <f>MIN(10,AT4+AU4+AV4)</f>
        <v/>
      </c>
      <c r="AX4" s="0" t="n">
        <v>2</v>
      </c>
      <c r="AY4" s="0" t="n">
        <v>0.6</v>
      </c>
      <c r="AZ4" s="0" t="n">
        <v>0.85</v>
      </c>
      <c r="BA4" s="0" t="n">
        <v>0.5</v>
      </c>
      <c r="BB4" s="0">
        <f>ROUND((AX4/2*0.4+AY4/1.5*0.3+AZ4/1*0.2+BA4/0.5*0.1)*100,2)</f>
        <v/>
      </c>
      <c r="BC4" s="0">
        <f>ROUND(AC4+AH4+AI4+AL4+AQ4+AS4+AW4+(BB4/100*5),2)</f>
        <v/>
      </c>
      <c r="BD4" s="0">
        <f>IF(BC4&lt;=20,"极弱",IF(BC4&lt;=40,"偏弱",IF(BC4&lt;=60,"中等",IF(BC4&lt;=80,"较强","卓越"))))</f>
        <v/>
      </c>
      <c r="BH4" s="0" t="inlineStr">
        <is>
          <t>视频号/快手</t>
        </is>
      </c>
    </row>
    <row r="5">
      <c r="A5" s="0" t="n">
        <v>3</v>
      </c>
      <c r="B5" s="0" t="inlineStr">
        <is>
          <t>二手回收大师</t>
        </is>
      </c>
      <c r="C5" s="0" t="inlineStr">
        <is>
          <t>/Users/mr.hu/Desktop/爆款排名/11.3日剧本/二手回收大师.docx</t>
        </is>
      </c>
      <c r="E5" s="0" t="n">
        <v>24.02</v>
      </c>
      <c r="F5" s="0" t="n">
        <v>20</v>
      </c>
      <c r="G5" s="0">
        <f>IF(E5&lt;=8,"15–20集",IF(E5&lt;=20,"20–30集","30–40集"))</f>
        <v/>
      </c>
      <c r="H5" s="0" t="inlineStr">
        <is>
          <t>男频</t>
        </is>
      </c>
      <c r="I5" s="0" t="inlineStr">
        <is>
          <t>科幻/奇幻</t>
        </is>
      </c>
      <c r="J5" s="0" t="inlineStr">
        <is>
          <t>职场/商战</t>
        </is>
      </c>
      <c r="K5" s="0" t="inlineStr">
        <is>
          <t>写实都市</t>
        </is>
      </c>
      <c r="L5" s="0" t="n">
        <v>5</v>
      </c>
      <c r="M5" s="0" t="n">
        <v>7</v>
      </c>
      <c r="N5" s="0" t="inlineStr">
        <is>
          <t>男性/下沉/45+</t>
        </is>
      </c>
      <c r="O5" s="0" t="inlineStr">
        <is>
          <t>节假日前后</t>
        </is>
      </c>
      <c r="P5" s="0" t="inlineStr">
        <is>
          <t>反转爽点</t>
        </is>
      </c>
      <c r="Q5" s="0" t="n">
        <v>3</v>
      </c>
      <c r="R5" s="0" t="n">
        <v>3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4</v>
      </c>
      <c r="AA5" s="0" t="n">
        <v>2</v>
      </c>
      <c r="AB5" s="0" t="n">
        <v>2</v>
      </c>
      <c r="AC5" s="0">
        <f>Y5+Z5+AA5+AB5</f>
        <v/>
      </c>
      <c r="AD5" s="0" t="n">
        <v>2</v>
      </c>
      <c r="AE5" s="0" t="n">
        <v>4</v>
      </c>
      <c r="AF5" s="0" t="n">
        <v>2</v>
      </c>
      <c r="AG5" s="0" t="n">
        <v>1</v>
      </c>
      <c r="AH5" s="0">
        <f>AD5+AE5+AF5+AG5</f>
        <v/>
      </c>
      <c r="AI5" s="0">
        <f>Q5+R5+S5+T5</f>
        <v/>
      </c>
      <c r="AJ5" s="0" t="n">
        <v>3</v>
      </c>
      <c r="AL5" s="0">
        <f>AJ5+U5+V5+W5+X5</f>
        <v/>
      </c>
      <c r="AM5" s="0" t="n">
        <v>0</v>
      </c>
      <c r="AN5" s="0" t="n">
        <v>5</v>
      </c>
      <c r="AO5" s="0" t="n">
        <v>0</v>
      </c>
      <c r="AP5" s="0" t="n">
        <v>0</v>
      </c>
      <c r="AQ5" s="0">
        <f>ROUND((MIN(AM5,10)/10*8)+(MIN(AN5,10)/10*6)+(MIN(AO5,10)/10*4)+(MIN(AP5,10)/10*2),2)</f>
        <v/>
      </c>
      <c r="AS5" s="0">
        <f>L5+M5</f>
        <v/>
      </c>
      <c r="AT5" s="0" t="n">
        <v>3</v>
      </c>
      <c r="AU5" s="0" t="n">
        <v>2</v>
      </c>
      <c r="AV5" s="0" t="n">
        <v>2</v>
      </c>
      <c r="AW5" s="0">
        <f>MIN(10,AT5+AU5+AV5)</f>
        <v/>
      </c>
      <c r="AX5" s="0" t="n">
        <v>2</v>
      </c>
      <c r="AY5" s="0" t="n">
        <v>0.85</v>
      </c>
      <c r="AZ5" s="0" t="n">
        <v>0.775</v>
      </c>
      <c r="BA5" s="0" t="n">
        <v>0.5</v>
      </c>
      <c r="BB5" s="0">
        <f>ROUND((AX5/2*0.4+AY5/1.5*0.3+AZ5/1*0.2+BA5/0.5*0.1)*100,2)</f>
        <v/>
      </c>
      <c r="BC5" s="0">
        <f>ROUND(AC5+AH5+AI5+AL5+AQ5+AS5+AW5+(BB5/100*5),2)</f>
        <v/>
      </c>
      <c r="BD5" s="0">
        <f>IF(BC5&lt;=20,"极弱",IF(BC5&lt;=40,"偏弱",IF(BC5&lt;=60,"中等",IF(BC5&lt;=80,"较强","卓越"))))</f>
        <v/>
      </c>
      <c r="BH5" s="0" t="inlineStr">
        <is>
          <t>视频号/快手</t>
        </is>
      </c>
    </row>
    <row r="6">
      <c r="A6" s="0" t="n">
        <v>4</v>
      </c>
      <c r="B6" s="0" t="inlineStr">
        <is>
          <t>从做好事成为世界首富1</t>
        </is>
      </c>
      <c r="C6" s="0" t="inlineStr">
        <is>
          <t>/Users/mr.hu/Desktop/爆款排名/11.3日剧本/从做好事成为世界首富1.docx</t>
        </is>
      </c>
      <c r="E6" s="0" t="n">
        <v>20.35</v>
      </c>
      <c r="F6" s="0" t="n">
        <v>16</v>
      </c>
      <c r="G6" s="0">
        <f>IF(E6&lt;=8,"15–20集",IF(E6&lt;=20,"20–30集","30–40集"))</f>
        <v/>
      </c>
      <c r="H6" s="0" t="inlineStr">
        <is>
          <t>男频</t>
        </is>
      </c>
      <c r="I6" s="0" t="inlineStr">
        <is>
          <t>科幻/奇幻</t>
        </is>
      </c>
      <c r="J6" s="0" t="inlineStr">
        <is>
          <t>职场/商战</t>
        </is>
      </c>
      <c r="K6" s="0" t="inlineStr">
        <is>
          <t>写实都市</t>
        </is>
      </c>
      <c r="L6" s="0" t="n">
        <v>6</v>
      </c>
      <c r="M6" s="0" t="n">
        <v>7</v>
      </c>
      <c r="N6" s="0" t="inlineStr">
        <is>
          <t>男性/下沉/45+</t>
        </is>
      </c>
      <c r="O6" s="0" t="inlineStr">
        <is>
          <t>周末黄金</t>
        </is>
      </c>
      <c r="P6" s="0" t="inlineStr">
        <is>
          <t>反转爽点</t>
        </is>
      </c>
      <c r="Q6" s="0" t="n">
        <v>3</v>
      </c>
      <c r="R6" s="0" t="n">
        <v>3</v>
      </c>
      <c r="S6" s="0" t="n">
        <v>1</v>
      </c>
      <c r="T6" s="0" t="n">
        <v>1</v>
      </c>
      <c r="U6" s="0" t="n">
        <v>1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4</v>
      </c>
      <c r="AA6" s="0" t="n">
        <v>2</v>
      </c>
      <c r="AB6" s="0" t="n">
        <v>2</v>
      </c>
      <c r="AC6" s="0">
        <f>Y6+Z6+AA6+AB6</f>
        <v/>
      </c>
      <c r="AD6" s="0" t="n">
        <v>2</v>
      </c>
      <c r="AE6" s="0" t="n">
        <v>3</v>
      </c>
      <c r="AF6" s="0" t="n">
        <v>3</v>
      </c>
      <c r="AG6" s="0" t="n">
        <v>1</v>
      </c>
      <c r="AH6" s="0">
        <f>AD6+AE6+AF6+AG6</f>
        <v/>
      </c>
      <c r="AI6" s="0">
        <f>Q6+R6+S6+T6</f>
        <v/>
      </c>
      <c r="AJ6" s="0" t="n">
        <v>3</v>
      </c>
      <c r="AL6" s="0">
        <f>AJ6+U6+V6+W6+X6</f>
        <v/>
      </c>
      <c r="AM6" s="0" t="n">
        <v>0.98</v>
      </c>
      <c r="AN6" s="0" t="n">
        <v>1.47</v>
      </c>
      <c r="AO6" s="0" t="n">
        <v>0</v>
      </c>
      <c r="AP6" s="0" t="n">
        <v>24</v>
      </c>
      <c r="AQ6" s="0">
        <f>ROUND((MIN(AM6,10)/10*8)+(MIN(AN6,10)/10*6)+(MIN(AO6,10)/10*4)+(MIN(AP6,10)/10*2),2)</f>
        <v/>
      </c>
      <c r="AS6" s="0">
        <f>L6+M6</f>
        <v/>
      </c>
      <c r="AT6" s="0" t="n">
        <v>3</v>
      </c>
      <c r="AU6" s="0" t="n">
        <v>2</v>
      </c>
      <c r="AV6" s="0" t="n">
        <v>2</v>
      </c>
      <c r="AW6" s="0">
        <f>MIN(10,AT6+AU6+AV6)</f>
        <v/>
      </c>
      <c r="AX6" s="0" t="n">
        <v>2</v>
      </c>
      <c r="AY6" s="0" t="n">
        <v>1.05</v>
      </c>
      <c r="AZ6" s="0" t="n">
        <v>0.85</v>
      </c>
      <c r="BA6" s="0" t="n">
        <v>0.5</v>
      </c>
      <c r="BB6" s="0">
        <f>ROUND((AX6/2*0.4+AY6/1.5*0.3+AZ6/1*0.2+BA6/0.5*0.1)*100,2)</f>
        <v/>
      </c>
      <c r="BC6" s="0">
        <f>ROUND(AC6+AH6+AI6+AL6+AQ6+AS6+AW6+(BB6/100*5),2)</f>
        <v/>
      </c>
      <c r="BD6" s="0">
        <f>IF(BC6&lt;=20,"极弱",IF(BC6&lt;=40,"偏弱",IF(BC6&lt;=60,"中等",IF(BC6&lt;=80,"较强","卓越"))))</f>
        <v/>
      </c>
      <c r="BH6" s="0" t="inlineStr">
        <is>
          <t>视频号/快手</t>
        </is>
      </c>
    </row>
    <row r="7">
      <c r="A7" s="0" t="n">
        <v>5</v>
      </c>
      <c r="B7" s="0" t="inlineStr">
        <is>
          <t>分手后，我的眼睛能无限升级</t>
        </is>
      </c>
      <c r="C7" s="0" t="inlineStr">
        <is>
          <t>/Users/mr.hu/Desktop/爆款排名/11.3日剧本/分手后，我的眼睛能无限升级.docx</t>
        </is>
      </c>
      <c r="E7" s="0" t="n">
        <v>22.78</v>
      </c>
      <c r="F7" s="0" t="n">
        <v>18</v>
      </c>
      <c r="G7" s="0">
        <f>IF(E7&lt;=8,"15–20集",IF(E7&lt;=20,"20–30集","30–40集"))</f>
        <v/>
      </c>
      <c r="H7" s="0" t="inlineStr">
        <is>
          <t>男频</t>
        </is>
      </c>
      <c r="I7" s="0" t="inlineStr">
        <is>
          <t>科幻/奇幻</t>
        </is>
      </c>
      <c r="J7" s="0" t="inlineStr">
        <is>
          <t>职场/商战</t>
        </is>
      </c>
      <c r="K7" s="0" t="inlineStr">
        <is>
          <t>写实都市</t>
        </is>
      </c>
      <c r="L7" s="0" t="n">
        <v>8</v>
      </c>
      <c r="M7" s="0" t="n">
        <v>7</v>
      </c>
      <c r="N7" s="0" t="inlineStr">
        <is>
          <t>男性/一二线/45+</t>
        </is>
      </c>
      <c r="O7" s="0" t="inlineStr">
        <is>
          <t>周末黄金</t>
        </is>
      </c>
      <c r="P7" s="0" t="inlineStr">
        <is>
          <t>反转爽点</t>
        </is>
      </c>
      <c r="Q7" s="0" t="n">
        <v>3</v>
      </c>
      <c r="R7" s="0" t="n">
        <v>3</v>
      </c>
      <c r="S7" s="0" t="n">
        <v>3</v>
      </c>
      <c r="T7" s="0" t="n">
        <v>1</v>
      </c>
      <c r="U7" s="0" t="n">
        <v>1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4</v>
      </c>
      <c r="AA7" s="0" t="n">
        <v>2</v>
      </c>
      <c r="AB7" s="0" t="n">
        <v>2</v>
      </c>
      <c r="AC7" s="0">
        <f>Y7+Z7+AA7+AB7</f>
        <v/>
      </c>
      <c r="AD7" s="0" t="n">
        <v>2</v>
      </c>
      <c r="AE7" s="0" t="n">
        <v>3</v>
      </c>
      <c r="AF7" s="0" t="n">
        <v>3</v>
      </c>
      <c r="AG7" s="0" t="n">
        <v>1</v>
      </c>
      <c r="AH7" s="0">
        <f>AD7+AE7+AF7+AG7</f>
        <v/>
      </c>
      <c r="AI7" s="0">
        <f>Q7+R7+S7+T7</f>
        <v/>
      </c>
      <c r="AJ7" s="0" t="n">
        <v>3</v>
      </c>
      <c r="AL7" s="0">
        <f>AJ7+U7+V7+W7+X7</f>
        <v/>
      </c>
      <c r="AM7" s="0" t="n">
        <v>0.88</v>
      </c>
      <c r="AN7" s="0" t="n">
        <v>2.63</v>
      </c>
      <c r="AO7" s="0" t="n">
        <v>0</v>
      </c>
      <c r="AP7" s="0" t="n">
        <v>0</v>
      </c>
      <c r="AQ7" s="0">
        <f>ROUND((MIN(AM7,10)/10*8)+(MIN(AN7,10)/10*6)+(MIN(AO7,10)/10*4)+(MIN(AP7,10)/10*2),2)</f>
        <v/>
      </c>
      <c r="AS7" s="0">
        <f>L7+M7</f>
        <v/>
      </c>
      <c r="AT7" s="0" t="n">
        <v>3</v>
      </c>
      <c r="AU7" s="0" t="n">
        <v>2</v>
      </c>
      <c r="AV7" s="0" t="n">
        <v>2</v>
      </c>
      <c r="AW7" s="0">
        <f>MIN(10,AT7+AU7+AV7)</f>
        <v/>
      </c>
      <c r="AX7" s="0" t="n">
        <v>2</v>
      </c>
      <c r="AY7" s="0" t="n">
        <v>0.75</v>
      </c>
      <c r="AZ7" s="0" t="n">
        <v>1</v>
      </c>
      <c r="BA7" s="0" t="n">
        <v>0.5</v>
      </c>
      <c r="BB7" s="0">
        <f>ROUND((AX7/2*0.4+AY7/1.5*0.3+AZ7/1*0.2+BA7/0.5*0.1)*100,2)</f>
        <v/>
      </c>
      <c r="BC7" s="0">
        <f>ROUND(AC7+AH7+AI7+AL7+AQ7+AS7+AW7+(BB7/100*5),2)</f>
        <v/>
      </c>
      <c r="BD7" s="0">
        <f>IF(BC7&lt;=20,"极弱",IF(BC7&lt;=40,"偏弱",IF(BC7&lt;=60,"中等",IF(BC7&lt;=80,"较强","卓越"))))</f>
        <v/>
      </c>
      <c r="BH7" s="0" t="inlineStr">
        <is>
          <t>抖音/快手</t>
        </is>
      </c>
    </row>
    <row r="8">
      <c r="A8" s="0" t="n">
        <v>6</v>
      </c>
      <c r="B8" s="0" t="inlineStr">
        <is>
          <t>呼吸能赚钱，我成了SSR至尊神</t>
        </is>
      </c>
      <c r="C8" s="0" t="inlineStr">
        <is>
          <t>/Users/mr.hu/Desktop/爆款排名/11.3日剧本/呼吸能赚钱，我成了SSR至尊神.docx</t>
        </is>
      </c>
      <c r="E8" s="0" t="n">
        <v>24.01</v>
      </c>
      <c r="F8" s="0" t="n">
        <v>20</v>
      </c>
      <c r="G8" s="0">
        <f>IF(E8&lt;=8,"15–20集",IF(E8&lt;=20,"20–30集","30–40集"))</f>
        <v/>
      </c>
      <c r="H8" s="0" t="inlineStr">
        <is>
          <t>男频</t>
        </is>
      </c>
      <c r="I8" s="0" t="inlineStr">
        <is>
          <t>科幻/奇幻</t>
        </is>
      </c>
      <c r="J8" s="0" t="inlineStr">
        <is>
          <t>职场/商战</t>
        </is>
      </c>
      <c r="K8" s="0" t="inlineStr">
        <is>
          <t>写实都市</t>
        </is>
      </c>
      <c r="L8" s="0" t="n">
        <v>5</v>
      </c>
      <c r="M8" s="0" t="n">
        <v>5</v>
      </c>
      <c r="N8" s="0" t="inlineStr">
        <is>
          <t>男性/下沉/18–35</t>
        </is>
      </c>
      <c r="O8" s="0" t="inlineStr">
        <is>
          <t>节假日前后</t>
        </is>
      </c>
      <c r="P8" s="0" t="inlineStr">
        <is>
          <t>反转爽点</t>
        </is>
      </c>
      <c r="Q8" s="0" t="n">
        <v>3</v>
      </c>
      <c r="R8" s="0" t="n">
        <v>3</v>
      </c>
      <c r="S8" s="0" t="n">
        <v>2</v>
      </c>
      <c r="T8" s="0" t="n">
        <v>1</v>
      </c>
      <c r="U8" s="0" t="n">
        <v>1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4</v>
      </c>
      <c r="AA8" s="0" t="n">
        <v>2</v>
      </c>
      <c r="AB8" s="0" t="n">
        <v>1</v>
      </c>
      <c r="AC8" s="0">
        <f>Y8+Z8+AA8+AB8</f>
        <v/>
      </c>
      <c r="AD8" s="0" t="n">
        <v>3</v>
      </c>
      <c r="AE8" s="0" t="n">
        <v>3</v>
      </c>
      <c r="AF8" s="0" t="n">
        <v>3</v>
      </c>
      <c r="AG8" s="0" t="n">
        <v>1</v>
      </c>
      <c r="AH8" s="0">
        <f>AD8+AE8+AF8+AG8</f>
        <v/>
      </c>
      <c r="AI8" s="0">
        <f>Q8+R8+S8+T8</f>
        <v/>
      </c>
      <c r="AJ8" s="0" t="n">
        <v>3</v>
      </c>
      <c r="AL8" s="0">
        <f>AJ8+U8+V8+W8+X8</f>
        <v/>
      </c>
      <c r="AM8" s="0" t="n">
        <v>0.83</v>
      </c>
      <c r="AN8" s="0" t="n">
        <v>2.5</v>
      </c>
      <c r="AO8" s="0" t="n">
        <v>0</v>
      </c>
      <c r="AP8" s="0" t="n">
        <v>0</v>
      </c>
      <c r="AQ8" s="0">
        <f>ROUND((MIN(AM8,10)/10*8)+(MIN(AN8,10)/10*6)+(MIN(AO8,10)/10*4)+(MIN(AP8,10)/10*2),2)</f>
        <v/>
      </c>
      <c r="AS8" s="0">
        <f>L8+M8</f>
        <v/>
      </c>
      <c r="AT8" s="0" t="n">
        <v>3</v>
      </c>
      <c r="AU8" s="0" t="n">
        <v>2</v>
      </c>
      <c r="AV8" s="0" t="n">
        <v>2</v>
      </c>
      <c r="AW8" s="0">
        <f>MIN(10,AT8+AU8+AV8)</f>
        <v/>
      </c>
      <c r="AX8" s="0" t="n">
        <v>2</v>
      </c>
      <c r="AY8" s="0" t="n">
        <v>0.5</v>
      </c>
      <c r="AZ8" s="0" t="n">
        <v>0.660714285714286</v>
      </c>
      <c r="BA8" s="0" t="n">
        <v>0.5</v>
      </c>
      <c r="BB8" s="0">
        <f>ROUND((AX8/2*0.4+AY8/1.5*0.3+AZ8/1*0.2+BA8/0.5*0.1)*100,2)</f>
        <v/>
      </c>
      <c r="BC8" s="0">
        <f>ROUND(AC8+AH8+AI8+AL8+AQ8+AS8+AW8+(BB8/100*5),2)</f>
        <v/>
      </c>
      <c r="BD8" s="0">
        <f>IF(BC8&lt;=20,"极弱",IF(BC8&lt;=40,"偏弱",IF(BC8&lt;=60,"中等",IF(BC8&lt;=80,"较强","卓越"))))</f>
        <v/>
      </c>
      <c r="BH8" s="0" t="inlineStr">
        <is>
          <t>视频号/快手</t>
        </is>
      </c>
    </row>
    <row r="9">
      <c r="A9" s="0" t="n">
        <v>7</v>
      </c>
      <c r="B9" s="0" t="inlineStr">
        <is>
          <t>因加班怒扇领导后，我无敌了！</t>
        </is>
      </c>
      <c r="C9" s="0" t="inlineStr">
        <is>
          <t>/Users/mr.hu/Desktop/爆款排名/11.3日剧本/因加班怒扇领导后，我无敌了！.docx</t>
        </is>
      </c>
      <c r="E9" s="0" t="n">
        <v>27.86</v>
      </c>
      <c r="F9" s="0" t="n">
        <v>23</v>
      </c>
      <c r="G9" s="0">
        <f>IF(E9&lt;=8,"15–20集",IF(E9&lt;=20,"20–30集","30–40集"))</f>
        <v/>
      </c>
      <c r="H9" s="0" t="inlineStr">
        <is>
          <t>男频</t>
        </is>
      </c>
      <c r="I9" s="0" t="inlineStr">
        <is>
          <t>古代</t>
        </is>
      </c>
      <c r="J9" s="0" t="inlineStr">
        <is>
          <t>职场/商战</t>
        </is>
      </c>
      <c r="K9" s="0" t="inlineStr">
        <is>
          <t>武侠动作</t>
        </is>
      </c>
      <c r="L9" s="0" t="n">
        <v>5</v>
      </c>
      <c r="M9" s="0" t="n">
        <v>5</v>
      </c>
      <c r="N9" s="0" t="inlineStr">
        <is>
          <t>男性/下沉/45+</t>
        </is>
      </c>
      <c r="O9" s="0" t="inlineStr">
        <is>
          <t>周末黄金</t>
        </is>
      </c>
      <c r="P9" s="0" t="inlineStr">
        <is>
          <t>反转爽点</t>
        </is>
      </c>
      <c r="Q9" s="0" t="n">
        <v>3</v>
      </c>
      <c r="R9" s="0" t="n">
        <v>2</v>
      </c>
      <c r="S9" s="0" t="n">
        <v>2</v>
      </c>
      <c r="T9" s="0" t="n">
        <v>1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1</v>
      </c>
      <c r="Z9" s="0" t="n">
        <v>4</v>
      </c>
      <c r="AA9" s="0" t="n">
        <v>2</v>
      </c>
      <c r="AB9" s="0" t="n">
        <v>2</v>
      </c>
      <c r="AC9" s="0">
        <f>Y9+Z9+AA9+AB9</f>
        <v/>
      </c>
      <c r="AD9" s="0" t="n">
        <v>3</v>
      </c>
      <c r="AE9" s="0" t="n">
        <v>4</v>
      </c>
      <c r="AF9" s="0" t="n">
        <v>2</v>
      </c>
      <c r="AG9" s="0" t="n">
        <v>1</v>
      </c>
      <c r="AH9" s="0">
        <f>AD9+AE9+AF9+AG9</f>
        <v/>
      </c>
      <c r="AI9" s="0">
        <f>Q9+R9+S9+T9</f>
        <v/>
      </c>
      <c r="AJ9" s="0" t="n">
        <v>3</v>
      </c>
      <c r="AL9" s="0">
        <f>AJ9+U9+V9+W9+X9</f>
        <v/>
      </c>
      <c r="AM9" s="0" t="n">
        <v>2.87</v>
      </c>
      <c r="AN9" s="0" t="n">
        <v>1.08</v>
      </c>
      <c r="AO9" s="0" t="n">
        <v>0</v>
      </c>
      <c r="AP9" s="0" t="n">
        <v>48</v>
      </c>
      <c r="AQ9" s="0">
        <f>ROUND((MIN(AM9,10)/10*8)+(MIN(AN9,10)/10*6)+(MIN(AO9,10)/10*4)+(MIN(AP9,10)/10*2),2)</f>
        <v/>
      </c>
      <c r="AS9" s="0">
        <f>L9+M9</f>
        <v/>
      </c>
      <c r="AT9" s="0" t="n">
        <v>3</v>
      </c>
      <c r="AU9" s="0" t="n">
        <v>2</v>
      </c>
      <c r="AV9" s="0" t="n">
        <v>3</v>
      </c>
      <c r="AW9" s="0">
        <f>MIN(10,AT9+AU9+AV9)</f>
        <v/>
      </c>
      <c r="AX9" s="0" t="n">
        <v>2</v>
      </c>
      <c r="AY9" s="0" t="n">
        <v>1.5</v>
      </c>
      <c r="AZ9" s="0" t="n">
        <v>0.660714285714286</v>
      </c>
      <c r="BA9" s="0" t="n">
        <v>0.5</v>
      </c>
      <c r="BB9" s="0">
        <f>ROUND((AX9/2*0.4+AY9/1.5*0.3+AZ9/1*0.2+BA9/0.5*0.1)*100,2)</f>
        <v/>
      </c>
      <c r="BC9" s="0">
        <f>ROUND(AC9+AH9+AI9+AL9+AQ9+AS9+AW9+(BB9/100*5),2)</f>
        <v/>
      </c>
      <c r="BD9" s="0">
        <f>IF(BC9&lt;=20,"极弱",IF(BC9&lt;=40,"偏弱",IF(BC9&lt;=60,"中等",IF(BC9&lt;=80,"较强","卓越"))))</f>
        <v/>
      </c>
      <c r="BH9" s="0" t="inlineStr">
        <is>
          <t>视频号/快手</t>
        </is>
      </c>
    </row>
    <row r="10">
      <c r="A10" s="0" t="n">
        <v>8</v>
      </c>
      <c r="B10" s="0" t="inlineStr">
        <is>
          <t>天降后妈，我突然多了九个姐姐1</t>
        </is>
      </c>
      <c r="C10" s="0" t="inlineStr">
        <is>
          <t>/Users/mr.hu/Desktop/爆款排名/11.3日剧本/天降后妈，我突然多了九个姐姐1.docx</t>
        </is>
      </c>
      <c r="E10" s="0" t="n">
        <v>18.69</v>
      </c>
      <c r="F10" s="0" t="n">
        <v>15</v>
      </c>
      <c r="G10" s="0">
        <f>IF(E10&lt;=8,"15–20集",IF(E10&lt;=20,"20–30集","30–40集"))</f>
        <v/>
      </c>
      <c r="H10" s="0" t="inlineStr">
        <is>
          <t>男频</t>
        </is>
      </c>
      <c r="I10" s="0" t="inlineStr">
        <is>
          <t>科幻/奇幻</t>
        </is>
      </c>
      <c r="J10" s="0" t="inlineStr">
        <is>
          <t>职场/商战</t>
        </is>
      </c>
      <c r="K10" s="0" t="inlineStr">
        <is>
          <t>写实都市</t>
        </is>
      </c>
      <c r="L10" s="0" t="n">
        <v>4</v>
      </c>
      <c r="M10" s="0" t="n">
        <v>7</v>
      </c>
      <c r="N10" s="0" t="inlineStr">
        <is>
          <t>男性/一二线/18–35</t>
        </is>
      </c>
      <c r="O10" s="0" t="inlineStr">
        <is>
          <t>周末黄金</t>
        </is>
      </c>
      <c r="P10" s="0" t="inlineStr">
        <is>
          <t>知识信息量</t>
        </is>
      </c>
      <c r="Q10" s="0" t="n">
        <v>3</v>
      </c>
      <c r="R10" s="0" t="n">
        <v>3</v>
      </c>
      <c r="S10" s="0" t="n">
        <v>1</v>
      </c>
      <c r="T10" s="0" t="n">
        <v>0</v>
      </c>
      <c r="U10" s="0" t="n">
        <v>1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4</v>
      </c>
      <c r="AA10" s="0" t="n">
        <v>2</v>
      </c>
      <c r="AB10" s="0" t="n">
        <v>2</v>
      </c>
      <c r="AC10" s="0">
        <f>Y10+Z10+AA10+AB10</f>
        <v/>
      </c>
      <c r="AD10" s="0" t="n">
        <v>2</v>
      </c>
      <c r="AE10" s="0" t="n">
        <v>3</v>
      </c>
      <c r="AF10" s="0" t="n">
        <v>3</v>
      </c>
      <c r="AG10" s="0" t="n">
        <v>1</v>
      </c>
      <c r="AH10" s="0">
        <f>AD10+AE10+AF10+AG10</f>
        <v/>
      </c>
      <c r="AI10" s="0">
        <f>Q10+R10+S10+T10</f>
        <v/>
      </c>
      <c r="AJ10" s="0" t="n">
        <v>3</v>
      </c>
      <c r="AL10" s="0">
        <f>AJ10+U10+V10+W10+X10</f>
        <v/>
      </c>
      <c r="AM10" s="0" t="n">
        <v>3.21</v>
      </c>
      <c r="AN10" s="0" t="n">
        <v>0</v>
      </c>
      <c r="AO10" s="0" t="n">
        <v>25</v>
      </c>
      <c r="AP10" s="0" t="n">
        <v>12</v>
      </c>
      <c r="AQ10" s="0">
        <f>ROUND((MIN(AM10,10)/10*8)+(MIN(AN10,10)/10*6)+(MIN(AO10,10)/10*4)+(MIN(AP10,10)/10*2),2)</f>
        <v/>
      </c>
      <c r="AS10" s="0">
        <f>L10+M10</f>
        <v/>
      </c>
      <c r="AT10" s="0" t="n">
        <v>3</v>
      </c>
      <c r="AU10" s="0" t="n">
        <v>2</v>
      </c>
      <c r="AV10" s="0" t="n">
        <v>2</v>
      </c>
      <c r="AW10" s="0">
        <f>MIN(10,AT10+AU10+AV10)</f>
        <v/>
      </c>
      <c r="AX10" s="0" t="n">
        <v>2</v>
      </c>
      <c r="AY10" s="0" t="n">
        <v>1.5</v>
      </c>
      <c r="AZ10" s="0" t="n">
        <v>0.7</v>
      </c>
      <c r="BA10" s="0" t="n">
        <v>0.5</v>
      </c>
      <c r="BB10" s="0">
        <f>ROUND((AX10/2*0.4+AY10/1.5*0.3+AZ10/1*0.2+BA10/0.5*0.1)*100,2)</f>
        <v/>
      </c>
      <c r="BC10" s="0">
        <f>ROUND(AC10+AH10+AI10+AL10+AQ10+AS10+AW10+(BB10/100*5),2)</f>
        <v/>
      </c>
      <c r="BD10" s="0">
        <f>IF(BC10&lt;=20,"极弱",IF(BC10&lt;=40,"偏弱",IF(BC10&lt;=60,"中等",IF(BC10&lt;=80,"较强","卓越"))))</f>
        <v/>
      </c>
      <c r="BH10" s="0" t="inlineStr">
        <is>
          <t>抖音/快手</t>
        </is>
      </c>
    </row>
    <row r="11">
      <c r="A11" s="0" t="n">
        <v>9</v>
      </c>
      <c r="B11" s="0" t="inlineStr">
        <is>
          <t>失业后钓鱼暴富，美女老婆惊呆1</t>
        </is>
      </c>
      <c r="C11" s="0" t="inlineStr">
        <is>
          <t>/Users/mr.hu/Desktop/爆款排名/11.3日剧本/失业后钓鱼暴富，美女老婆惊呆1.docx</t>
        </is>
      </c>
      <c r="E11" s="0" t="n">
        <v>21.3</v>
      </c>
      <c r="F11" s="0" t="n">
        <v>17</v>
      </c>
      <c r="G11" s="0">
        <f>IF(E11&lt;=8,"15–20集",IF(E11&lt;=20,"20–30集","30–40集"))</f>
        <v/>
      </c>
      <c r="H11" s="0" t="inlineStr">
        <is>
          <t>男频</t>
        </is>
      </c>
      <c r="I11" s="0" t="inlineStr">
        <is>
          <t>科幻/奇幻</t>
        </is>
      </c>
      <c r="J11" s="0" t="inlineStr">
        <is>
          <t>职场/商战</t>
        </is>
      </c>
      <c r="K11" s="0" t="inlineStr">
        <is>
          <t>写实都市</t>
        </is>
      </c>
      <c r="L11" s="0" t="n">
        <v>6</v>
      </c>
      <c r="M11" s="0" t="n">
        <v>4</v>
      </c>
      <c r="N11" s="0" t="inlineStr">
        <is>
          <t>男性/一二线/18–35</t>
        </is>
      </c>
      <c r="O11" s="0" t="inlineStr">
        <is>
          <t>节假日前后</t>
        </is>
      </c>
      <c r="P11" s="0" t="inlineStr">
        <is>
          <t>反转爽点</t>
        </is>
      </c>
      <c r="Q11" s="0" t="n">
        <v>3</v>
      </c>
      <c r="R11" s="0" t="n">
        <v>3</v>
      </c>
      <c r="S11" s="0" t="n">
        <v>1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4</v>
      </c>
      <c r="AA11" s="0" t="n">
        <v>2</v>
      </c>
      <c r="AB11" s="0" t="n">
        <v>2</v>
      </c>
      <c r="AC11" s="0">
        <f>Y11+Z11+AA11+AB11</f>
        <v/>
      </c>
      <c r="AD11" s="0" t="n">
        <v>2</v>
      </c>
      <c r="AE11" s="0" t="n">
        <v>6</v>
      </c>
      <c r="AF11" s="0" t="n">
        <v>2</v>
      </c>
      <c r="AG11" s="0" t="n">
        <v>1</v>
      </c>
      <c r="AH11" s="0">
        <f>AD11+AE11+AF11+AG11</f>
        <v/>
      </c>
      <c r="AI11" s="0">
        <f>Q11+R11+S11+T11</f>
        <v/>
      </c>
      <c r="AJ11" s="0" t="n">
        <v>2</v>
      </c>
      <c r="AL11" s="0">
        <f>AJ11+U11+V11+W11+X11</f>
        <v/>
      </c>
      <c r="AM11" s="0" t="n">
        <v>0.9399999999999999</v>
      </c>
      <c r="AN11" s="0" t="n">
        <v>29.57</v>
      </c>
      <c r="AO11" s="0" t="n">
        <v>0</v>
      </c>
      <c r="AP11" s="0" t="n">
        <v>0</v>
      </c>
      <c r="AQ11" s="0">
        <f>ROUND((MIN(AM11,10)/10*8)+(MIN(AN11,10)/10*6)+(MIN(AO11,10)/10*4)+(MIN(AP11,10)/10*2),2)</f>
        <v/>
      </c>
      <c r="AS11" s="0">
        <f>L11+M11</f>
        <v/>
      </c>
      <c r="AT11" s="0" t="n">
        <v>3</v>
      </c>
      <c r="AU11" s="0" t="n">
        <v>2</v>
      </c>
      <c r="AV11" s="0" t="n">
        <v>2</v>
      </c>
      <c r="AW11" s="0">
        <f>MIN(10,AT11+AU11+AV11)</f>
        <v/>
      </c>
      <c r="AX11" s="0" t="n">
        <v>2</v>
      </c>
      <c r="AY11" s="0" t="n">
        <v>0.5</v>
      </c>
      <c r="AZ11" s="0" t="n">
        <v>0.678571428571428</v>
      </c>
      <c r="BA11" s="0" t="n">
        <v>0.3</v>
      </c>
      <c r="BB11" s="0">
        <f>ROUND((AX11/2*0.4+AY11/1.5*0.3+AZ11/1*0.2+BA11/0.5*0.1)*100,2)</f>
        <v/>
      </c>
      <c r="BC11" s="0">
        <f>ROUND(AC11+AH11+AI11+AL11+AQ11+AS11+AW11+(BB11/100*5),2)</f>
        <v/>
      </c>
      <c r="BD11" s="0">
        <f>IF(BC11&lt;=20,"极弱",IF(BC11&lt;=40,"偏弱",IF(BC11&lt;=60,"中等",IF(BC11&lt;=80,"较强","卓越"))))</f>
        <v/>
      </c>
      <c r="BH11" s="0" t="inlineStr">
        <is>
          <t>抖音/快手</t>
        </is>
      </c>
    </row>
    <row r="12">
      <c r="A12" s="0" t="n">
        <v>10</v>
      </c>
      <c r="B12" s="0" t="inlineStr">
        <is>
          <t>契约订婚后前女友跪求我回头</t>
        </is>
      </c>
      <c r="C12" s="0" t="inlineStr">
        <is>
          <t>/Users/mr.hu/Desktop/爆款排名/11.3日剧本/契约订婚后前女友跪求我回头.docx</t>
        </is>
      </c>
      <c r="E12" s="0" t="n">
        <v>25.57</v>
      </c>
      <c r="F12" s="0" t="n">
        <v>21</v>
      </c>
      <c r="G12" s="0">
        <f>IF(E12&lt;=8,"15–20集",IF(E12&lt;=20,"20–30集","30–40集"))</f>
        <v/>
      </c>
      <c r="H12" s="0" t="inlineStr">
        <is>
          <t>女频</t>
        </is>
      </c>
      <c r="I12" s="0" t="inlineStr">
        <is>
          <t>科幻/奇幻</t>
        </is>
      </c>
      <c r="J12" s="0" t="inlineStr">
        <is>
          <t>职场/商战</t>
        </is>
      </c>
      <c r="K12" s="0" t="inlineStr">
        <is>
          <t>写实都市</t>
        </is>
      </c>
      <c r="L12" s="0" t="n">
        <v>6</v>
      </c>
      <c r="M12" s="0" t="n">
        <v>5</v>
      </c>
      <c r="N12" s="0" t="inlineStr">
        <is>
          <t>女性/一二线/45+</t>
        </is>
      </c>
      <c r="O12" s="0" t="inlineStr">
        <is>
          <t>周末黄金</t>
        </is>
      </c>
      <c r="P12" s="0" t="inlineStr">
        <is>
          <t>知识信息量</t>
        </is>
      </c>
      <c r="Q12" s="0" t="n">
        <v>3</v>
      </c>
      <c r="R12" s="0" t="n">
        <v>3</v>
      </c>
      <c r="S12" s="0" t="n">
        <v>3</v>
      </c>
      <c r="T12" s="0" t="n">
        <v>1</v>
      </c>
      <c r="U12" s="0" t="n">
        <v>1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4</v>
      </c>
      <c r="AA12" s="0" t="n">
        <v>2</v>
      </c>
      <c r="AB12" s="0" t="n">
        <v>2</v>
      </c>
      <c r="AC12" s="0">
        <f>Y12+Z12+AA12+AB12</f>
        <v/>
      </c>
      <c r="AD12" s="0" t="n">
        <v>4</v>
      </c>
      <c r="AE12" s="0" t="n">
        <v>6</v>
      </c>
      <c r="AF12" s="0" t="n">
        <v>3</v>
      </c>
      <c r="AG12" s="0" t="n">
        <v>1</v>
      </c>
      <c r="AH12" s="0">
        <f>AD12+AE12+AF12+AG12</f>
        <v/>
      </c>
      <c r="AI12" s="0">
        <f>Q12+R12+S12+T12</f>
        <v/>
      </c>
      <c r="AJ12" s="0" t="n">
        <v>3</v>
      </c>
      <c r="AL12" s="0">
        <f>AJ12+U12+V12+W12+X12</f>
        <v/>
      </c>
      <c r="AM12" s="0" t="n">
        <v>8.6</v>
      </c>
      <c r="AN12" s="0" t="n">
        <v>3.52</v>
      </c>
      <c r="AO12" s="0" t="n">
        <v>50</v>
      </c>
      <c r="AP12" s="0" t="n">
        <v>0</v>
      </c>
      <c r="AQ12" s="0">
        <f>ROUND((MIN(AM12,10)/10*8)+(MIN(AN12,10)/10*6)+(MIN(AO12,10)/10*4)+(MIN(AP12,10)/10*2),2)</f>
        <v/>
      </c>
      <c r="AS12" s="0">
        <f>L12+M12</f>
        <v/>
      </c>
      <c r="AT12" s="0" t="n">
        <v>2</v>
      </c>
      <c r="AU12" s="0" t="n">
        <v>2</v>
      </c>
      <c r="AV12" s="0" t="n">
        <v>2</v>
      </c>
      <c r="AW12" s="0">
        <f>MIN(10,AT12+AU12+AV12)</f>
        <v/>
      </c>
      <c r="AX12" s="0" t="n">
        <v>1.5</v>
      </c>
      <c r="AY12" s="0" t="n">
        <v>1.1</v>
      </c>
      <c r="AZ12" s="0" t="n">
        <v>0.735714285714286</v>
      </c>
      <c r="BA12" s="0" t="n">
        <v>0.5</v>
      </c>
      <c r="BB12" s="0">
        <f>ROUND((AX12/2*0.4+AY12/1.5*0.3+AZ12/1*0.2+BA12/0.5*0.1)*100,2)</f>
        <v/>
      </c>
      <c r="BC12" s="0">
        <f>ROUND(AC12+AH12+AI12+AL12+AQ12+AS12+AW12+(BB12/100*5),2)</f>
        <v/>
      </c>
      <c r="BD12" s="0">
        <f>IF(BC12&lt;=20,"极弱",IF(BC12&lt;=40,"偏弱",IF(BC12&lt;=60,"中等",IF(BC12&lt;=80,"较强","卓越"))))</f>
        <v/>
      </c>
      <c r="BH12" s="0" t="inlineStr">
        <is>
          <t>抖音/快手</t>
        </is>
      </c>
    </row>
    <row r="13">
      <c r="A13" s="0" t="n">
        <v>11</v>
      </c>
      <c r="B13" s="0" t="inlineStr">
        <is>
          <t>女友劈腿，祖宗赐我透视眼！</t>
        </is>
      </c>
      <c r="C13" s="0" t="inlineStr">
        <is>
          <t>/Users/mr.hu/Desktop/爆款排名/11.3日剧本/女友劈腿，祖宗赐我透视眼！.docx</t>
        </is>
      </c>
      <c r="E13" s="0" t="n">
        <v>25.29</v>
      </c>
      <c r="F13" s="0" t="n">
        <v>21</v>
      </c>
      <c r="G13" s="0">
        <f>IF(E13&lt;=8,"15–20集",IF(E13&lt;=20,"20–30集","30–40集"))</f>
        <v/>
      </c>
      <c r="H13" s="0" t="inlineStr">
        <is>
          <t>女频</t>
        </is>
      </c>
      <c r="I13" s="0" t="inlineStr">
        <is>
          <t>科幻/奇幻</t>
        </is>
      </c>
      <c r="J13" s="0" t="inlineStr">
        <is>
          <t>职场/商战</t>
        </is>
      </c>
      <c r="K13" s="0" t="inlineStr">
        <is>
          <t>写实都市</t>
        </is>
      </c>
      <c r="L13" s="0" t="n">
        <v>6</v>
      </c>
      <c r="M13" s="0" t="n">
        <v>5</v>
      </c>
      <c r="N13" s="0" t="inlineStr">
        <is>
          <t>女性/一二线/18–35</t>
        </is>
      </c>
      <c r="O13" s="0" t="inlineStr">
        <is>
          <t>节假日前后</t>
        </is>
      </c>
      <c r="P13" s="0" t="inlineStr">
        <is>
          <t>成长救赎</t>
        </is>
      </c>
      <c r="Q13" s="0" t="n">
        <v>3</v>
      </c>
      <c r="R13" s="0" t="n">
        <v>2</v>
      </c>
      <c r="S13" s="0" t="n">
        <v>3</v>
      </c>
      <c r="T13" s="0" t="n">
        <v>1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2</v>
      </c>
      <c r="Z13" s="0" t="n">
        <v>4</v>
      </c>
      <c r="AA13" s="0" t="n">
        <v>2</v>
      </c>
      <c r="AB13" s="0" t="n">
        <v>2</v>
      </c>
      <c r="AC13" s="0">
        <f>Y13+Z13+AA13+AB13</f>
        <v/>
      </c>
      <c r="AD13" s="0" t="n">
        <v>4</v>
      </c>
      <c r="AE13" s="0" t="n">
        <v>5</v>
      </c>
      <c r="AF13" s="0" t="n">
        <v>2</v>
      </c>
      <c r="AG13" s="0" t="n">
        <v>1</v>
      </c>
      <c r="AH13" s="0">
        <f>AD13+AE13+AF13+AG13</f>
        <v/>
      </c>
      <c r="AI13" s="0">
        <f>Q13+R13+S13+T13</f>
        <v/>
      </c>
      <c r="AJ13" s="0" t="n">
        <v>3</v>
      </c>
      <c r="AL13" s="0">
        <f>AJ13+U13+V13+W13+X13</f>
        <v/>
      </c>
      <c r="AM13" s="0" t="n">
        <v>3.16</v>
      </c>
      <c r="AN13" s="0" t="n">
        <v>5.93</v>
      </c>
      <c r="AO13" s="0" t="n">
        <v>0</v>
      </c>
      <c r="AP13" s="0" t="n">
        <v>12</v>
      </c>
      <c r="AQ13" s="0">
        <f>ROUND((MIN(AM13,10)/10*8)+(MIN(AN13,10)/10*6)+(MIN(AO13,10)/10*4)+(MIN(AP13,10)/10*2),2)</f>
        <v/>
      </c>
      <c r="AS13" s="0">
        <f>L13+M13</f>
        <v/>
      </c>
      <c r="AT13" s="0" t="n">
        <v>2</v>
      </c>
      <c r="AU13" s="0" t="n">
        <v>2</v>
      </c>
      <c r="AV13" s="0" t="n">
        <v>3</v>
      </c>
      <c r="AW13" s="0">
        <f>MIN(10,AT13+AU13+AV13)</f>
        <v/>
      </c>
      <c r="AX13" s="0" t="n">
        <v>1.5</v>
      </c>
      <c r="AY13" s="0" t="n">
        <v>0.5</v>
      </c>
      <c r="AZ13" s="0" t="n">
        <v>0.735714285714286</v>
      </c>
      <c r="BA13" s="0" t="n">
        <v>0.5</v>
      </c>
      <c r="BB13" s="0">
        <f>ROUND((AX13/2*0.4+AY13/1.5*0.3+AZ13/1*0.2+BA13/0.5*0.1)*100,2)</f>
        <v/>
      </c>
      <c r="BC13" s="0">
        <f>ROUND(AC13+AH13+AI13+AL13+AQ13+AS13+AW13+(BB13/100*5),2)</f>
        <v/>
      </c>
      <c r="BD13" s="0">
        <f>IF(BC13&lt;=20,"极弱",IF(BC13&lt;=40,"偏弱",IF(BC13&lt;=60,"中等",IF(BC13&lt;=80,"较强","卓越"))))</f>
        <v/>
      </c>
      <c r="BH13" s="0" t="inlineStr">
        <is>
          <t>抖音/快手</t>
        </is>
      </c>
    </row>
    <row r="14">
      <c r="A14" s="0" t="n">
        <v>12</v>
      </c>
      <c r="B14" s="0" t="inlineStr">
        <is>
          <t>孤，魔道帝子，镇压世间一切敌</t>
        </is>
      </c>
      <c r="C14" s="0" t="inlineStr">
        <is>
          <t>/Users/mr.hu/Desktop/爆款排名/11.3日剧本/孤，魔道帝子，镇压世间一切敌.docx</t>
        </is>
      </c>
      <c r="E14" s="0" t="n">
        <v>26.3</v>
      </c>
      <c r="F14" s="0" t="n">
        <v>21</v>
      </c>
      <c r="G14" s="0">
        <f>IF(E14&lt;=8,"15–20集",IF(E14&lt;=20,"20–30集","30–40集"))</f>
        <v/>
      </c>
      <c r="H14" s="0" t="inlineStr">
        <is>
          <t>男频</t>
        </is>
      </c>
      <c r="I14" s="0" t="inlineStr">
        <is>
          <t>科幻/奇幻</t>
        </is>
      </c>
      <c r="J14" s="0" t="inlineStr">
        <is>
          <t>玄幻修仙</t>
        </is>
      </c>
      <c r="K14" s="0" t="inlineStr">
        <is>
          <t>武侠动作</t>
        </is>
      </c>
      <c r="L14" s="0" t="n">
        <v>5</v>
      </c>
      <c r="M14" s="0" t="n">
        <v>7</v>
      </c>
      <c r="N14" s="0" t="inlineStr">
        <is>
          <t>男性/一二线/45+</t>
        </is>
      </c>
      <c r="O14" s="0" t="inlineStr">
        <is>
          <t>节假日前后</t>
        </is>
      </c>
      <c r="P14" s="0" t="inlineStr">
        <is>
          <t>成长救赎</t>
        </is>
      </c>
      <c r="Q14" s="0" t="n">
        <v>3</v>
      </c>
      <c r="R14" s="0" t="n">
        <v>3</v>
      </c>
      <c r="S14" s="0" t="n">
        <v>1</v>
      </c>
      <c r="T14" s="0" t="n">
        <v>1</v>
      </c>
      <c r="U14" s="0" t="n">
        <v>1</v>
      </c>
      <c r="V14" s="0" t="n">
        <v>2</v>
      </c>
      <c r="W14" s="0" t="n">
        <v>1</v>
      </c>
      <c r="X14" s="0" t="n">
        <v>1</v>
      </c>
      <c r="Y14" s="0" t="n">
        <v>1</v>
      </c>
      <c r="Z14" s="0" t="n">
        <v>4</v>
      </c>
      <c r="AA14" s="0" t="n">
        <v>0</v>
      </c>
      <c r="AB14" s="0" t="n">
        <v>2</v>
      </c>
      <c r="AC14" s="0">
        <f>Y14+Z14+AA14+AB14</f>
        <v/>
      </c>
      <c r="AD14" s="0" t="n">
        <v>3</v>
      </c>
      <c r="AE14" s="0" t="n">
        <v>5</v>
      </c>
      <c r="AF14" s="0" t="n">
        <v>2</v>
      </c>
      <c r="AG14" s="0" t="n">
        <v>0</v>
      </c>
      <c r="AH14" s="0">
        <f>AD14+AE14+AF14+AG14</f>
        <v/>
      </c>
      <c r="AI14" s="0">
        <f>Q14+R14+S14+T14</f>
        <v/>
      </c>
      <c r="AJ14" s="0" t="n">
        <v>3</v>
      </c>
      <c r="AL14" s="0">
        <f>AJ14+U14+V14+W14+X14</f>
        <v/>
      </c>
      <c r="AM14" s="0" t="n">
        <v>1.52</v>
      </c>
      <c r="AN14" s="0" t="n">
        <v>7.98</v>
      </c>
      <c r="AO14" s="0" t="n">
        <v>0</v>
      </c>
      <c r="AP14" s="0" t="n">
        <v>60</v>
      </c>
      <c r="AQ14" s="0">
        <f>ROUND((MIN(AM14,10)/10*8)+(MIN(AN14,10)/10*6)+(MIN(AO14,10)/10*4)+(MIN(AP14,10)/10*2),2)</f>
        <v/>
      </c>
      <c r="AS14" s="0">
        <f>L14+M14</f>
        <v/>
      </c>
      <c r="AT14" s="0" t="n">
        <v>3</v>
      </c>
      <c r="AU14" s="0" t="n">
        <v>2</v>
      </c>
      <c r="AV14" s="0" t="n">
        <v>3</v>
      </c>
      <c r="AW14" s="0">
        <f>MIN(10,AT14+AU14+AV14)</f>
        <v/>
      </c>
      <c r="AX14" s="0" t="n">
        <v>2</v>
      </c>
      <c r="AY14" s="0" t="n">
        <v>0.6</v>
      </c>
      <c r="AZ14" s="0" t="n">
        <v>0.775</v>
      </c>
      <c r="BA14" s="0" t="n">
        <v>0.5</v>
      </c>
      <c r="BB14" s="0">
        <f>ROUND((AX14/2*0.4+AY14/1.5*0.3+AZ14/1*0.2+BA14/0.5*0.1)*100,2)</f>
        <v/>
      </c>
      <c r="BC14" s="0">
        <f>ROUND(AC14+AH14+AI14+AL14+AQ14+AS14+AW14+(BB14/100*5),2)</f>
        <v/>
      </c>
      <c r="BD14" s="0">
        <f>IF(BC14&lt;=20,"极弱",IF(BC14&lt;=40,"偏弱",IF(BC14&lt;=60,"中等",IF(BC14&lt;=80,"较强","卓越"))))</f>
        <v/>
      </c>
      <c r="BH14" s="0" t="inlineStr">
        <is>
          <t>抖音/快手</t>
        </is>
      </c>
    </row>
    <row r="15">
      <c r="A15" s="0" t="n">
        <v>13</v>
      </c>
      <c r="B15" s="0" t="inlineStr">
        <is>
          <t>帮美女邻居修水管，获得隐藏情报</t>
        </is>
      </c>
      <c r="C15" s="0" t="inlineStr">
        <is>
          <t>/Users/mr.hu/Desktop/爆款排名/11.3日剧本/帮美女邻居修水管，获得隐藏情报.docx</t>
        </is>
      </c>
      <c r="E15" s="0" t="n">
        <v>19.74</v>
      </c>
      <c r="F15" s="0" t="n">
        <v>16</v>
      </c>
      <c r="G15" s="0">
        <f>IF(E15&lt;=8,"15–20集",IF(E15&lt;=20,"20–30集","30–40集"))</f>
        <v/>
      </c>
      <c r="H15" s="0" t="inlineStr">
        <is>
          <t>双频</t>
        </is>
      </c>
      <c r="I15" s="0" t="inlineStr">
        <is>
          <t>古代</t>
        </is>
      </c>
      <c r="J15" s="0" t="inlineStr">
        <is>
          <t>古代权谋/科举</t>
        </is>
      </c>
      <c r="K15" s="0" t="inlineStr">
        <is>
          <t>武侠动作</t>
        </is>
      </c>
      <c r="L15" s="0" t="n">
        <v>6</v>
      </c>
      <c r="M15" s="0" t="n">
        <v>7</v>
      </c>
      <c r="N15" s="0" t="inlineStr">
        <is>
          <t>男女皆可/一二线/45+</t>
        </is>
      </c>
      <c r="O15" s="0" t="inlineStr">
        <is>
          <t>周末黄金</t>
        </is>
      </c>
      <c r="P15" s="0" t="inlineStr">
        <is>
          <t>反转爽点</t>
        </is>
      </c>
      <c r="Q15" s="0" t="n">
        <v>3</v>
      </c>
      <c r="R15" s="0" t="n">
        <v>2</v>
      </c>
      <c r="S15" s="0" t="n">
        <v>2</v>
      </c>
      <c r="T15" s="0" t="n">
        <v>1</v>
      </c>
      <c r="U15" s="0" t="n">
        <v>3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4</v>
      </c>
      <c r="AA15" s="0" t="n">
        <v>2</v>
      </c>
      <c r="AB15" s="0" t="n">
        <v>2</v>
      </c>
      <c r="AC15" s="0">
        <f>Y15+Z15+AA15+AB15</f>
        <v/>
      </c>
      <c r="AD15" s="0" t="n">
        <v>5</v>
      </c>
      <c r="AE15" s="0" t="n">
        <v>4</v>
      </c>
      <c r="AF15" s="0" t="n">
        <v>2</v>
      </c>
      <c r="AG15" s="0" t="n">
        <v>1</v>
      </c>
      <c r="AH15" s="0">
        <f>AD15+AE15+AF15+AG15</f>
        <v/>
      </c>
      <c r="AI15" s="0">
        <f>Q15+R15+S15+T15</f>
        <v/>
      </c>
      <c r="AJ15" s="0" t="n">
        <v>3</v>
      </c>
      <c r="AL15" s="0">
        <f>AJ15+U15+V15+W15+X15</f>
        <v/>
      </c>
      <c r="AM15" s="0" t="n">
        <v>1.01</v>
      </c>
      <c r="AN15" s="0" t="n">
        <v>4.56</v>
      </c>
      <c r="AO15" s="0" t="n">
        <v>0</v>
      </c>
      <c r="AP15" s="0" t="n">
        <v>0</v>
      </c>
      <c r="AQ15" s="0">
        <f>ROUND((MIN(AM15,10)/10*8)+(MIN(AN15,10)/10*6)+(MIN(AO15,10)/10*4)+(MIN(AP15,10)/10*2),2)</f>
        <v/>
      </c>
      <c r="AS15" s="0">
        <f>L15+M15</f>
        <v/>
      </c>
      <c r="AT15" s="0" t="n">
        <v>3</v>
      </c>
      <c r="AU15" s="0" t="n">
        <v>2</v>
      </c>
      <c r="AV15" s="0" t="n">
        <v>2</v>
      </c>
      <c r="AW15" s="0">
        <f>MIN(10,AT15+AU15+AV15)</f>
        <v/>
      </c>
      <c r="AX15" s="0" t="n">
        <v>2</v>
      </c>
      <c r="AY15" s="0" t="n">
        <v>1.5</v>
      </c>
      <c r="AZ15" s="0" t="n">
        <v>0.85</v>
      </c>
      <c r="BA15" s="0" t="n">
        <v>0.3</v>
      </c>
      <c r="BB15" s="0">
        <f>ROUND((AX15/2*0.4+AY15/1.5*0.3+AZ15/1*0.2+BA15/0.5*0.1)*100,2)</f>
        <v/>
      </c>
      <c r="BC15" s="0">
        <f>ROUND(AC15+AH15+AI15+AL15+AQ15+AS15+AW15+(BB15/100*5),2)</f>
        <v/>
      </c>
      <c r="BD15" s="0">
        <f>IF(BC15&lt;=20,"极弱",IF(BC15&lt;=40,"偏弱",IF(BC15&lt;=60,"中等",IF(BC15&lt;=80,"较强","卓越"))))</f>
        <v/>
      </c>
      <c r="BH15" s="0" t="inlineStr">
        <is>
          <t>抖音/快手</t>
        </is>
      </c>
    </row>
    <row r="16">
      <c r="A16" s="0" t="n">
        <v>14</v>
      </c>
      <c r="B16" s="0" t="inlineStr">
        <is>
          <t>开局亿亿神豪，看我独领风骚</t>
        </is>
      </c>
      <c r="C16" s="0" t="inlineStr">
        <is>
          <t>/Users/mr.hu/Desktop/爆款排名/11.3日剧本/开局亿亿神豪，看我独领风骚.docx</t>
        </is>
      </c>
      <c r="E16" s="0" t="n">
        <v>19.34</v>
      </c>
      <c r="F16" s="0" t="n">
        <v>16</v>
      </c>
      <c r="G16" s="0">
        <f>IF(E16&lt;=8,"15–20集",IF(E16&lt;=20,"20–30集","30–40集"))</f>
        <v/>
      </c>
      <c r="H16" s="0" t="inlineStr">
        <is>
          <t>男频</t>
        </is>
      </c>
      <c r="I16" s="0" t="inlineStr">
        <is>
          <t>科幻/奇幻</t>
        </is>
      </c>
      <c r="J16" s="0" t="inlineStr">
        <is>
          <t>家庭/婚恋</t>
        </is>
      </c>
      <c r="K16" s="0" t="inlineStr">
        <is>
          <t>商业爽剧</t>
        </is>
      </c>
      <c r="L16" s="0" t="n">
        <v>8</v>
      </c>
      <c r="M16" s="0" t="n">
        <v>7</v>
      </c>
      <c r="N16" s="0" t="inlineStr">
        <is>
          <t>男性/下沉/18–35</t>
        </is>
      </c>
      <c r="O16" s="0" t="inlineStr">
        <is>
          <t>周末黄金</t>
        </is>
      </c>
      <c r="P16" s="0" t="inlineStr">
        <is>
          <t>反转爽点</t>
        </is>
      </c>
      <c r="Q16" s="0" t="n">
        <v>3</v>
      </c>
      <c r="R16" s="0" t="n">
        <v>2</v>
      </c>
      <c r="S16" s="0" t="n">
        <v>3</v>
      </c>
      <c r="T16" s="0" t="n">
        <v>1</v>
      </c>
      <c r="U16" s="0" t="n">
        <v>1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4</v>
      </c>
      <c r="AA16" s="0" t="n">
        <v>2</v>
      </c>
      <c r="AB16" s="0" t="n">
        <v>2</v>
      </c>
      <c r="AC16" s="0">
        <f>Y16+Z16+AA16+AB16</f>
        <v/>
      </c>
      <c r="AD16" s="0" t="n">
        <v>5</v>
      </c>
      <c r="AE16" s="0" t="n">
        <v>2</v>
      </c>
      <c r="AF16" s="0" t="n">
        <v>3</v>
      </c>
      <c r="AG16" s="0" t="n">
        <v>0</v>
      </c>
      <c r="AH16" s="0">
        <f>AD16+AE16+AF16+AG16</f>
        <v/>
      </c>
      <c r="AI16" s="0">
        <f>Q16+R16+S16+T16</f>
        <v/>
      </c>
      <c r="AJ16" s="0" t="n">
        <v>3</v>
      </c>
      <c r="AL16" s="0">
        <f>AJ16+U16+V16+W16+X16</f>
        <v/>
      </c>
      <c r="AM16" s="0" t="n">
        <v>1.03</v>
      </c>
      <c r="AN16" s="0" t="n">
        <v>0</v>
      </c>
      <c r="AO16" s="0" t="n">
        <v>25</v>
      </c>
      <c r="AP16" s="0" t="n">
        <v>0</v>
      </c>
      <c r="AQ16" s="0">
        <f>ROUND((MIN(AM16,10)/10*8)+(MIN(AN16,10)/10*6)+(MIN(AO16,10)/10*4)+(MIN(AP16,10)/10*2),2)</f>
        <v/>
      </c>
      <c r="AS16" s="0">
        <f>L16+M16</f>
        <v/>
      </c>
      <c r="AT16" s="0" t="n">
        <v>3</v>
      </c>
      <c r="AU16" s="0" t="n">
        <v>2</v>
      </c>
      <c r="AV16" s="0" t="n">
        <v>2</v>
      </c>
      <c r="AW16" s="0">
        <f>MIN(10,AT16+AU16+AV16)</f>
        <v/>
      </c>
      <c r="AX16" s="0" t="n">
        <v>2</v>
      </c>
      <c r="AY16" s="0" t="n">
        <v>1.5</v>
      </c>
      <c r="AZ16" s="0" t="n">
        <v>1</v>
      </c>
      <c r="BA16" s="0" t="n">
        <v>0.5</v>
      </c>
      <c r="BB16" s="0">
        <f>ROUND((AX16/2*0.4+AY16/1.5*0.3+AZ16/1*0.2+BA16/0.5*0.1)*100,2)</f>
        <v/>
      </c>
      <c r="BC16" s="0">
        <f>ROUND(AC16+AH16+AI16+AL16+AQ16+AS16+AW16+(BB16/100*5),2)</f>
        <v/>
      </c>
      <c r="BD16" s="0">
        <f>IF(BC16&lt;=20,"极弱",IF(BC16&lt;=40,"偏弱",IF(BC16&lt;=60,"中等",IF(BC16&lt;=80,"较强","卓越"))))</f>
        <v/>
      </c>
      <c r="BH16" s="0" t="inlineStr">
        <is>
          <t>视频号/快手</t>
        </is>
      </c>
    </row>
    <row r="17">
      <c r="A17" s="0" t="n">
        <v>15</v>
      </c>
      <c r="B17" s="0" t="inlineStr">
        <is>
          <t>开局妈传菜迷途知返我调教世界</t>
        </is>
      </c>
      <c r="C17" s="0" t="inlineStr">
        <is>
          <t>/Users/mr.hu/Desktop/爆款排名/11.3日剧本/开局妈传菜迷途知返我调教世界.docx</t>
        </is>
      </c>
      <c r="E17" s="0" t="n">
        <v>26.75</v>
      </c>
      <c r="F17" s="0" t="n">
        <v>22</v>
      </c>
      <c r="G17" s="0">
        <f>IF(E17&lt;=8,"15–20集",IF(E17&lt;=20,"20–30集","30–40集"))</f>
        <v/>
      </c>
      <c r="H17" s="0" t="inlineStr">
        <is>
          <t>男频</t>
        </is>
      </c>
      <c r="I17" s="0" t="inlineStr">
        <is>
          <t>古代</t>
        </is>
      </c>
      <c r="J17" s="0" t="inlineStr">
        <is>
          <t>职场/商战</t>
        </is>
      </c>
      <c r="K17" s="0" t="inlineStr">
        <is>
          <t>古装群像</t>
        </is>
      </c>
      <c r="L17" s="0" t="n">
        <v>6</v>
      </c>
      <c r="M17" s="0" t="n">
        <v>7</v>
      </c>
      <c r="N17" s="0" t="inlineStr">
        <is>
          <t>男性/下沉/45+</t>
        </is>
      </c>
      <c r="O17" s="0" t="inlineStr">
        <is>
          <t>周末黄金</t>
        </is>
      </c>
      <c r="P17" s="0" t="inlineStr">
        <is>
          <t>成长救赎</t>
        </is>
      </c>
      <c r="Q17" s="0" t="n">
        <v>3</v>
      </c>
      <c r="R17" s="0" t="n">
        <v>3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4</v>
      </c>
      <c r="AA17" s="0" t="n">
        <v>2</v>
      </c>
      <c r="AB17" s="0" t="n">
        <v>1</v>
      </c>
      <c r="AC17" s="0">
        <f>Y17+Z17+AA17+AB17</f>
        <v/>
      </c>
      <c r="AD17" s="0" t="n">
        <v>4</v>
      </c>
      <c r="AE17" s="0" t="n">
        <v>6</v>
      </c>
      <c r="AF17" s="0" t="n">
        <v>2</v>
      </c>
      <c r="AG17" s="0" t="n">
        <v>1</v>
      </c>
      <c r="AH17" s="0">
        <f>AD17+AE17+AF17+AG17</f>
        <v/>
      </c>
      <c r="AI17" s="0">
        <f>Q17+R17+S17+T17</f>
        <v/>
      </c>
      <c r="AJ17" s="0" t="n">
        <v>3</v>
      </c>
      <c r="AL17" s="0">
        <f>AJ17+U17+V17+W17+X17</f>
        <v/>
      </c>
      <c r="AM17" s="0" t="n">
        <v>1.5</v>
      </c>
      <c r="AN17" s="0" t="n">
        <v>13.46</v>
      </c>
      <c r="AO17" s="0" t="n">
        <v>0</v>
      </c>
      <c r="AP17" s="0" t="n">
        <v>12</v>
      </c>
      <c r="AQ17" s="0">
        <f>ROUND((MIN(AM17,10)/10*8)+(MIN(AN17,10)/10*6)+(MIN(AO17,10)/10*4)+(MIN(AP17,10)/10*2),2)</f>
        <v/>
      </c>
      <c r="AS17" s="0">
        <f>L17+M17</f>
        <v/>
      </c>
      <c r="AT17" s="0" t="n">
        <v>3</v>
      </c>
      <c r="AU17" s="0" t="n">
        <v>2</v>
      </c>
      <c r="AV17" s="0" t="n">
        <v>3</v>
      </c>
      <c r="AW17" s="0">
        <f>MIN(10,AT17+AU17+AV17)</f>
        <v/>
      </c>
      <c r="AX17" s="0" t="n">
        <v>2</v>
      </c>
      <c r="AY17" s="0" t="n">
        <v>1.5</v>
      </c>
      <c r="AZ17" s="0" t="n">
        <v>0.85</v>
      </c>
      <c r="BA17" s="0" t="n">
        <v>0.5</v>
      </c>
      <c r="BB17" s="0">
        <f>ROUND((AX17/2*0.4+AY17/1.5*0.3+AZ17/1*0.2+BA17/0.5*0.1)*100,2)</f>
        <v/>
      </c>
      <c r="BC17" s="0">
        <f>ROUND(AC17+AH17+AI17+AL17+AQ17+AS17+AW17+(BB17/100*5),2)</f>
        <v/>
      </c>
      <c r="BD17" s="0">
        <f>IF(BC17&lt;=20,"极弱",IF(BC17&lt;=40,"偏弱",IF(BC17&lt;=60,"中等",IF(BC17&lt;=80,"较强","卓越"))))</f>
        <v/>
      </c>
      <c r="BH17" s="0" t="inlineStr">
        <is>
          <t>视频号/快手</t>
        </is>
      </c>
    </row>
    <row r="18">
      <c r="A18" s="0" t="n">
        <v>16</v>
      </c>
      <c r="B18" s="0" t="inlineStr">
        <is>
          <t>开局妈传菜：迷途知返我调教世界</t>
        </is>
      </c>
      <c r="C18" s="0" t="inlineStr">
        <is>
          <t>/Users/mr.hu/Desktop/爆款排名/11.3日剧本/开局妈传菜：迷途知返我调教世界.docx</t>
        </is>
      </c>
      <c r="E18" s="0" t="n">
        <v>21.05</v>
      </c>
      <c r="F18" s="0" t="n">
        <v>17</v>
      </c>
      <c r="G18" s="0">
        <f>IF(E18&lt;=8,"15–20集",IF(E18&lt;=20,"20–30集","30–40集"))</f>
        <v/>
      </c>
      <c r="H18" s="0" t="inlineStr">
        <is>
          <t>男频</t>
        </is>
      </c>
      <c r="I18" s="0" t="inlineStr">
        <is>
          <t>古代</t>
        </is>
      </c>
      <c r="J18" s="0" t="inlineStr">
        <is>
          <t>职场/商战</t>
        </is>
      </c>
      <c r="K18" s="0" t="inlineStr">
        <is>
          <t>古装群像</t>
        </is>
      </c>
      <c r="L18" s="0" t="n">
        <v>6</v>
      </c>
      <c r="M18" s="0" t="n">
        <v>7</v>
      </c>
      <c r="N18" s="0" t="inlineStr">
        <is>
          <t>男性/下沉/18–35</t>
        </is>
      </c>
      <c r="O18" s="0" t="inlineStr">
        <is>
          <t>周末黄金</t>
        </is>
      </c>
      <c r="P18" s="0" t="inlineStr">
        <is>
          <t>反转爽点</t>
        </is>
      </c>
      <c r="Q18" s="0" t="n">
        <v>3</v>
      </c>
      <c r="R18" s="0" t="n">
        <v>2</v>
      </c>
      <c r="S18" s="0" t="n">
        <v>2</v>
      </c>
      <c r="T18" s="0" t="n">
        <v>1</v>
      </c>
      <c r="U18" s="0" t="n">
        <v>3</v>
      </c>
      <c r="V18" s="0" t="n">
        <v>2</v>
      </c>
      <c r="W18" s="0" t="n">
        <v>1</v>
      </c>
      <c r="X18" s="0" t="n">
        <v>1</v>
      </c>
      <c r="Y18" s="0" t="n">
        <v>2</v>
      </c>
      <c r="Z18" s="0" t="n">
        <v>4</v>
      </c>
      <c r="AA18" s="0" t="n">
        <v>0</v>
      </c>
      <c r="AB18" s="0" t="n">
        <v>1</v>
      </c>
      <c r="AC18" s="0">
        <f>Y18+Z18+AA18+AB18</f>
        <v/>
      </c>
      <c r="AD18" s="0" t="n">
        <v>4</v>
      </c>
      <c r="AE18" s="0" t="n">
        <v>6</v>
      </c>
      <c r="AF18" s="0" t="n">
        <v>3</v>
      </c>
      <c r="AG18" s="0" t="n">
        <v>0</v>
      </c>
      <c r="AH18" s="0">
        <f>AD18+AE18+AF18+AG18</f>
        <v/>
      </c>
      <c r="AI18" s="0">
        <f>Q18+R18+S18+T18</f>
        <v/>
      </c>
      <c r="AJ18" s="0" t="n">
        <v>3</v>
      </c>
      <c r="AL18" s="0">
        <f>AJ18+U18+V18+W18+X18</f>
        <v/>
      </c>
      <c r="AM18" s="0" t="n">
        <v>5.7</v>
      </c>
      <c r="AN18" s="0" t="n">
        <v>14.25</v>
      </c>
      <c r="AO18" s="0" t="n">
        <v>0</v>
      </c>
      <c r="AP18" s="0" t="n">
        <v>12</v>
      </c>
      <c r="AQ18" s="0">
        <f>ROUND((MIN(AM18,10)/10*8)+(MIN(AN18,10)/10*6)+(MIN(AO18,10)/10*4)+(MIN(AP18,10)/10*2),2)</f>
        <v/>
      </c>
      <c r="AS18" s="0">
        <f>L18+M18</f>
        <v/>
      </c>
      <c r="AT18" s="0" t="n">
        <v>3</v>
      </c>
      <c r="AU18" s="0" t="n">
        <v>2</v>
      </c>
      <c r="AV18" s="0" t="n">
        <v>3</v>
      </c>
      <c r="AW18" s="0">
        <f>MIN(10,AT18+AU18+AV18)</f>
        <v/>
      </c>
      <c r="AX18" s="0" t="n">
        <v>2</v>
      </c>
      <c r="AY18" s="0" t="n">
        <v>1.5</v>
      </c>
      <c r="AZ18" s="0" t="n">
        <v>0.85</v>
      </c>
      <c r="BA18" s="0" t="n">
        <v>0.5</v>
      </c>
      <c r="BB18" s="0">
        <f>ROUND((AX18/2*0.4+AY18/1.5*0.3+AZ18/1*0.2+BA18/0.5*0.1)*100,2)</f>
        <v/>
      </c>
      <c r="BC18" s="0">
        <f>ROUND(AC18+AH18+AI18+AL18+AQ18+AS18+AW18+(BB18/100*5),2)</f>
        <v/>
      </c>
      <c r="BD18" s="0">
        <f>IF(BC18&lt;=20,"极弱",IF(BC18&lt;=40,"偏弱",IF(BC18&lt;=60,"中等",IF(BC18&lt;=80,"较强","卓越"))))</f>
        <v/>
      </c>
      <c r="BH18" s="0" t="inlineStr">
        <is>
          <t>视频号/快手</t>
        </is>
      </c>
    </row>
    <row r="19">
      <c r="A19" s="0" t="n">
        <v>17</v>
      </c>
      <c r="B19" s="0" t="inlineStr">
        <is>
          <t>我五岁，带着八个姐姐一起飞！</t>
        </is>
      </c>
      <c r="C19" s="0" t="inlineStr">
        <is>
          <t>/Users/mr.hu/Desktop/爆款排名/11.3日剧本/我五岁，带着八个姐姐一起飞！.docx</t>
        </is>
      </c>
      <c r="E19" s="0" t="n">
        <v>19.69</v>
      </c>
      <c r="F19" s="0" t="n">
        <v>16</v>
      </c>
      <c r="G19" s="0">
        <f>IF(E19&lt;=8,"15–20集",IF(E19&lt;=20,"20–30集","30–40集"))</f>
        <v/>
      </c>
      <c r="H19" s="0" t="inlineStr">
        <is>
          <t>男频</t>
        </is>
      </c>
      <c r="I19" s="0" t="inlineStr">
        <is>
          <t>科幻/奇幻</t>
        </is>
      </c>
      <c r="J19" s="0" t="inlineStr">
        <is>
          <t>职场/商战</t>
        </is>
      </c>
      <c r="K19" s="0" t="inlineStr">
        <is>
          <t>写实都市</t>
        </is>
      </c>
      <c r="L19" s="0" t="n">
        <v>5</v>
      </c>
      <c r="M19" s="0" t="n">
        <v>5</v>
      </c>
      <c r="N19" s="0" t="inlineStr">
        <is>
          <t>男性/一二线/45+</t>
        </is>
      </c>
      <c r="O19" s="0" t="inlineStr">
        <is>
          <t>节假日前后</t>
        </is>
      </c>
      <c r="P19" s="0" t="inlineStr">
        <is>
          <t>知识信息量</t>
        </is>
      </c>
      <c r="Q19" s="0" t="n">
        <v>3</v>
      </c>
      <c r="R19" s="0" t="n">
        <v>3</v>
      </c>
      <c r="S19" s="0" t="n">
        <v>3</v>
      </c>
      <c r="T19" s="0" t="n">
        <v>1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4</v>
      </c>
      <c r="AA19" s="0" t="n">
        <v>2</v>
      </c>
      <c r="AB19" s="0" t="n">
        <v>2</v>
      </c>
      <c r="AC19" s="0">
        <f>Y19+Z19+AA19+AB19</f>
        <v/>
      </c>
      <c r="AD19" s="0" t="n">
        <v>2</v>
      </c>
      <c r="AE19" s="0" t="n">
        <v>2</v>
      </c>
      <c r="AF19" s="0" t="n">
        <v>2</v>
      </c>
      <c r="AG19" s="0" t="n">
        <v>1</v>
      </c>
      <c r="AH19" s="0">
        <f>AD19+AE19+AF19+AG19</f>
        <v/>
      </c>
      <c r="AI19" s="0">
        <f>Q19+R19+S19+T19</f>
        <v/>
      </c>
      <c r="AJ19" s="0" t="n">
        <v>3</v>
      </c>
      <c r="AL19" s="0">
        <f>AJ19+U19+V19+W19+X19</f>
        <v/>
      </c>
      <c r="AM19" s="0" t="n">
        <v>3.05</v>
      </c>
      <c r="AN19" s="0" t="n">
        <v>0</v>
      </c>
      <c r="AO19" s="0" t="n">
        <v>0</v>
      </c>
      <c r="AP19" s="0" t="n">
        <v>0</v>
      </c>
      <c r="AQ19" s="0">
        <f>ROUND((MIN(AM19,10)/10*8)+(MIN(AN19,10)/10*6)+(MIN(AO19,10)/10*4)+(MIN(AP19,10)/10*2),2)</f>
        <v/>
      </c>
      <c r="AS19" s="0">
        <f>L19+M19</f>
        <v/>
      </c>
      <c r="AT19" s="0" t="n">
        <v>3</v>
      </c>
      <c r="AU19" s="0" t="n">
        <v>2</v>
      </c>
      <c r="AV19" s="0" t="n">
        <v>2</v>
      </c>
      <c r="AW19" s="0">
        <f>MIN(10,AT19+AU19+AV19)</f>
        <v/>
      </c>
      <c r="AX19" s="0" t="n">
        <v>2</v>
      </c>
      <c r="AY19" s="0" t="n">
        <v>0.6</v>
      </c>
      <c r="AZ19" s="0" t="n">
        <v>0.660714285714286</v>
      </c>
      <c r="BA19" s="0" t="n">
        <v>0.5</v>
      </c>
      <c r="BB19" s="0">
        <f>ROUND((AX19/2*0.4+AY19/1.5*0.3+AZ19/1*0.2+BA19/0.5*0.1)*100,2)</f>
        <v/>
      </c>
      <c r="BC19" s="0">
        <f>ROUND(AC19+AH19+AI19+AL19+AQ19+AS19+AW19+(BB19/100*5),2)</f>
        <v/>
      </c>
      <c r="BD19" s="0">
        <f>IF(BC19&lt;=20,"极弱",IF(BC19&lt;=40,"偏弱",IF(BC19&lt;=60,"中等",IF(BC19&lt;=80,"较强","卓越"))))</f>
        <v/>
      </c>
      <c r="BH19" s="0" t="inlineStr">
        <is>
          <t>抖音/快手</t>
        </is>
      </c>
    </row>
    <row r="20">
      <c r="A20" s="0" t="n">
        <v>18</v>
      </c>
      <c r="B20" s="0" t="inlineStr">
        <is>
          <t>满级金钟罩：开局大哥带我去捉奸</t>
        </is>
      </c>
      <c r="C20" s="0" t="inlineStr">
        <is>
          <t>/Users/mr.hu/Desktop/爆款排名/11.3日剧本/满级金钟罩：开局大哥带我去捉奸.docx</t>
        </is>
      </c>
      <c r="E20" s="0" t="n">
        <v>23.25</v>
      </c>
      <c r="F20" s="0" t="n">
        <v>19</v>
      </c>
      <c r="G20" s="0">
        <f>IF(E20&lt;=8,"15–20集",IF(E20&lt;=20,"20–30集","30–40集"))</f>
        <v/>
      </c>
      <c r="H20" s="0" t="inlineStr">
        <is>
          <t>男频</t>
        </is>
      </c>
      <c r="I20" s="0" t="inlineStr">
        <is>
          <t>古代</t>
        </is>
      </c>
      <c r="J20" s="0" t="inlineStr">
        <is>
          <t>古代权谋/科举</t>
        </is>
      </c>
      <c r="K20" s="0" t="inlineStr">
        <is>
          <t>武侠动作</t>
        </is>
      </c>
      <c r="L20" s="0" t="n">
        <v>4</v>
      </c>
      <c r="M20" s="0" t="n">
        <v>4</v>
      </c>
      <c r="N20" s="0" t="inlineStr">
        <is>
          <t>男性/一二线/18–35</t>
        </is>
      </c>
      <c r="O20" s="0" t="inlineStr">
        <is>
          <t>节假日前后</t>
        </is>
      </c>
      <c r="P20" s="0" t="inlineStr">
        <is>
          <t>反转爽点</t>
        </is>
      </c>
      <c r="Q20" s="0" t="n">
        <v>3</v>
      </c>
      <c r="R20" s="0" t="n">
        <v>3</v>
      </c>
      <c r="S20" s="0" t="n">
        <v>0</v>
      </c>
      <c r="T20" s="0" t="n">
        <v>1</v>
      </c>
      <c r="U20" s="0" t="n">
        <v>1</v>
      </c>
      <c r="V20" s="0" t="n">
        <v>2</v>
      </c>
      <c r="W20" s="0" t="n">
        <v>1</v>
      </c>
      <c r="X20" s="0" t="n">
        <v>1</v>
      </c>
      <c r="Y20" s="0" t="n">
        <v>6</v>
      </c>
      <c r="Z20" s="0" t="n">
        <v>4</v>
      </c>
      <c r="AA20" s="0" t="n">
        <v>2</v>
      </c>
      <c r="AB20" s="0" t="n">
        <v>2</v>
      </c>
      <c r="AC20" s="0">
        <f>Y20+Z20+AA20+AB20</f>
        <v/>
      </c>
      <c r="AD20" s="0" t="n">
        <v>5</v>
      </c>
      <c r="AE20" s="0" t="n">
        <v>4</v>
      </c>
      <c r="AF20" s="0" t="n">
        <v>2</v>
      </c>
      <c r="AG20" s="0" t="n">
        <v>1</v>
      </c>
      <c r="AH20" s="0">
        <f>AD20+AE20+AF20+AG20</f>
        <v/>
      </c>
      <c r="AI20" s="0">
        <f>Q20+R20+S20+T20</f>
        <v/>
      </c>
      <c r="AJ20" s="0" t="n">
        <v>3</v>
      </c>
      <c r="AL20" s="0">
        <f>AJ20+U20+V20+W20+X20</f>
        <v/>
      </c>
      <c r="AM20" s="0" t="n">
        <v>0.86</v>
      </c>
      <c r="AN20" s="0" t="n">
        <v>6.45</v>
      </c>
      <c r="AO20" s="0" t="n">
        <v>0</v>
      </c>
      <c r="AP20" s="0" t="n">
        <v>0</v>
      </c>
      <c r="AQ20" s="0">
        <f>ROUND((MIN(AM20,10)/10*8)+(MIN(AN20,10)/10*6)+(MIN(AO20,10)/10*4)+(MIN(AP20,10)/10*2),2)</f>
        <v/>
      </c>
      <c r="AS20" s="0">
        <f>L20+M20</f>
        <v/>
      </c>
      <c r="AT20" s="0" t="n">
        <v>3</v>
      </c>
      <c r="AU20" s="0" t="n">
        <v>2</v>
      </c>
      <c r="AV20" s="0" t="n">
        <v>2</v>
      </c>
      <c r="AW20" s="0">
        <f>MIN(10,AT20+AU20+AV20)</f>
        <v/>
      </c>
      <c r="AX20" s="0" t="n">
        <v>2</v>
      </c>
      <c r="AY20" s="0" t="n">
        <v>0.6</v>
      </c>
      <c r="AZ20" s="0" t="n">
        <v>0.528571428571429</v>
      </c>
      <c r="BA20" s="0" t="n">
        <v>0.5</v>
      </c>
      <c r="BB20" s="0">
        <f>ROUND((AX20/2*0.4+AY20/1.5*0.3+AZ20/1*0.2+BA20/0.5*0.1)*100,2)</f>
        <v/>
      </c>
      <c r="BC20" s="0">
        <f>ROUND(AC20+AH20+AI20+AL20+AQ20+AS20+AW20+(BB20/100*5),2)</f>
        <v/>
      </c>
      <c r="BD20" s="0">
        <f>IF(BC20&lt;=20,"极弱",IF(BC20&lt;=40,"偏弱",IF(BC20&lt;=60,"中等",IF(BC20&lt;=80,"较强","卓越"))))</f>
        <v/>
      </c>
      <c r="BH20" s="0" t="inlineStr">
        <is>
          <t>抖音/快手</t>
        </is>
      </c>
    </row>
    <row r="21">
      <c r="A21" s="0" t="n">
        <v>19</v>
      </c>
      <c r="B21" s="0" t="inlineStr">
        <is>
          <t>直播：我说没杀过人测谎仪响了！</t>
        </is>
      </c>
      <c r="C21" s="0" t="inlineStr">
        <is>
          <t>/Users/mr.hu/Desktop/爆款排名/11.3日剧本/直播：我说没杀过人测谎仪响了！.docx</t>
        </is>
      </c>
      <c r="E21" s="0" t="n">
        <v>26.36</v>
      </c>
      <c r="F21" s="0" t="n">
        <v>21</v>
      </c>
      <c r="G21" s="0">
        <f>IF(E21&lt;=8,"15–20集",IF(E21&lt;=20,"20–30集","30–40集"))</f>
        <v/>
      </c>
      <c r="H21" s="0" t="inlineStr">
        <is>
          <t>男频</t>
        </is>
      </c>
      <c r="I21" s="0" t="inlineStr">
        <is>
          <t>现代</t>
        </is>
      </c>
      <c r="J21" s="0" t="inlineStr">
        <is>
          <t>职场/商战</t>
        </is>
      </c>
      <c r="K21" s="0" t="inlineStr">
        <is>
          <t>悬疑快剪</t>
        </is>
      </c>
      <c r="L21" s="0" t="n">
        <v>6</v>
      </c>
      <c r="M21" s="0" t="n">
        <v>5</v>
      </c>
      <c r="N21" s="0" t="inlineStr">
        <is>
          <t>男性/一二线/18–35</t>
        </is>
      </c>
      <c r="O21" s="0" t="inlineStr">
        <is>
          <t>周末黄金</t>
        </is>
      </c>
      <c r="P21" s="0" t="inlineStr">
        <is>
          <t>知识信息量</t>
        </is>
      </c>
      <c r="Q21" s="0" t="n">
        <v>3</v>
      </c>
      <c r="R21" s="0" t="n">
        <v>3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1</v>
      </c>
      <c r="X21" s="0" t="n">
        <v>1</v>
      </c>
      <c r="Y21" s="0" t="n">
        <v>0</v>
      </c>
      <c r="Z21" s="0" t="n">
        <v>4</v>
      </c>
      <c r="AA21" s="0" t="n">
        <v>3</v>
      </c>
      <c r="AB21" s="0" t="n">
        <v>2</v>
      </c>
      <c r="AC21" s="0">
        <f>Y21+Z21+AA21+AB21</f>
        <v/>
      </c>
      <c r="AD21" s="0" t="n">
        <v>5</v>
      </c>
      <c r="AE21" s="0" t="n">
        <v>3</v>
      </c>
      <c r="AF21" s="0" t="n">
        <v>2</v>
      </c>
      <c r="AG21" s="0" t="n">
        <v>1</v>
      </c>
      <c r="AH21" s="0">
        <f>AD21+AE21+AF21+AG21</f>
        <v/>
      </c>
      <c r="AI21" s="0">
        <f>Q21+R21+S21+T21</f>
        <v/>
      </c>
      <c r="AJ21" s="0" t="n">
        <v>2</v>
      </c>
      <c r="AL21" s="0">
        <f>AJ21+U21+V21+W21+X21</f>
        <v/>
      </c>
      <c r="AM21" s="0" t="n">
        <v>0.76</v>
      </c>
      <c r="AN21" s="0" t="n">
        <v>2.28</v>
      </c>
      <c r="AO21" s="0" t="n">
        <v>0</v>
      </c>
      <c r="AP21" s="0" t="n">
        <v>0</v>
      </c>
      <c r="AQ21" s="0">
        <f>ROUND((MIN(AM21,10)/10*8)+(MIN(AN21,10)/10*6)+(MIN(AO21,10)/10*4)+(MIN(AP21,10)/10*2),2)</f>
        <v/>
      </c>
      <c r="AS21" s="0">
        <f>L21+M21</f>
        <v/>
      </c>
      <c r="AT21" s="0" t="n">
        <v>3</v>
      </c>
      <c r="AU21" s="0" t="n">
        <v>2</v>
      </c>
      <c r="AV21" s="0" t="n">
        <v>2</v>
      </c>
      <c r="AW21" s="0">
        <f>MIN(10,AT21+AU21+AV21)</f>
        <v/>
      </c>
      <c r="AX21" s="0" t="n">
        <v>2</v>
      </c>
      <c r="AY21" s="0" t="n">
        <v>1.5</v>
      </c>
      <c r="AZ21" s="0" t="n">
        <v>0.735714285714286</v>
      </c>
      <c r="BA21" s="0" t="n">
        <v>0.5</v>
      </c>
      <c r="BB21" s="0">
        <f>ROUND((AX21/2*0.4+AY21/1.5*0.3+AZ21/1*0.2+BA21/0.5*0.1)*100,2)</f>
        <v/>
      </c>
      <c r="BC21" s="0">
        <f>ROUND(AC21+AH21+AI21+AL21+AQ21+AS21+AW21+(BB21/100*5),2)</f>
        <v/>
      </c>
      <c r="BD21" s="0">
        <f>IF(BC21&lt;=20,"极弱",IF(BC21&lt;=40,"偏弱",IF(BC21&lt;=60,"中等",IF(BC21&lt;=80,"较强","卓越"))))</f>
        <v/>
      </c>
      <c r="BH21" s="0" t="inlineStr">
        <is>
          <t>抖音/快手</t>
        </is>
      </c>
    </row>
    <row r="22">
      <c r="A22" s="0" t="n">
        <v>20</v>
      </c>
      <c r="B22" s="0" t="inlineStr">
        <is>
          <t>神豪：开局获得一古戈尔</t>
        </is>
      </c>
      <c r="C22" s="0" t="inlineStr">
        <is>
          <t>/Users/mr.hu/Desktop/爆款排名/11.3日剧本/神豪：开局获得一古戈尔.docx</t>
        </is>
      </c>
      <c r="E22" s="0" t="n">
        <v>22.4</v>
      </c>
      <c r="F22" s="0" t="n">
        <v>18</v>
      </c>
      <c r="G22" s="0">
        <f>IF(E22&lt;=8,"15–20集",IF(E22&lt;=20,"20–30集","30–40集"))</f>
        <v/>
      </c>
      <c r="H22" s="0" t="inlineStr">
        <is>
          <t>男频</t>
        </is>
      </c>
      <c r="I22" s="0" t="inlineStr">
        <is>
          <t>科幻/奇幻</t>
        </is>
      </c>
      <c r="J22" s="0" t="inlineStr">
        <is>
          <t>职场/商战</t>
        </is>
      </c>
      <c r="K22" s="0" t="inlineStr">
        <is>
          <t>写实都市</t>
        </is>
      </c>
      <c r="L22" s="0" t="n">
        <v>6</v>
      </c>
      <c r="M22" s="0" t="n">
        <v>7</v>
      </c>
      <c r="N22" s="0" t="inlineStr">
        <is>
          <t>男性/下沉/45+</t>
        </is>
      </c>
      <c r="O22" s="0" t="inlineStr">
        <is>
          <t>节假日前后</t>
        </is>
      </c>
      <c r="P22" s="0" t="inlineStr">
        <is>
          <t>反转爽点</t>
        </is>
      </c>
      <c r="Q22" s="0" t="n">
        <v>3</v>
      </c>
      <c r="R22" s="0" t="n">
        <v>3</v>
      </c>
      <c r="S22" s="0" t="n">
        <v>3</v>
      </c>
      <c r="T22" s="0" t="n">
        <v>1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1</v>
      </c>
      <c r="Z22" s="0" t="n">
        <v>4</v>
      </c>
      <c r="AA22" s="0" t="n">
        <v>2</v>
      </c>
      <c r="AB22" s="0" t="n">
        <v>2</v>
      </c>
      <c r="AC22" s="0">
        <f>Y22+Z22+AA22+AB22</f>
        <v/>
      </c>
      <c r="AD22" s="0" t="n">
        <v>3</v>
      </c>
      <c r="AE22" s="0" t="n">
        <v>2</v>
      </c>
      <c r="AF22" s="0" t="n">
        <v>3</v>
      </c>
      <c r="AG22" s="0" t="n">
        <v>0</v>
      </c>
      <c r="AH22" s="0">
        <f>AD22+AE22+AF22+AG22</f>
        <v/>
      </c>
      <c r="AI22" s="0">
        <f>Q22+R22+S22+T22</f>
        <v/>
      </c>
      <c r="AJ22" s="0" t="n">
        <v>3</v>
      </c>
      <c r="AL22" s="0">
        <f>AJ22+U22+V22+W22+X22</f>
        <v/>
      </c>
      <c r="AM22" s="0" t="n">
        <v>1.79</v>
      </c>
      <c r="AN22" s="0" t="n">
        <v>0</v>
      </c>
      <c r="AO22" s="0" t="n">
        <v>0</v>
      </c>
      <c r="AP22" s="0" t="n">
        <v>12</v>
      </c>
      <c r="AQ22" s="0">
        <f>ROUND((MIN(AM22,10)/10*8)+(MIN(AN22,10)/10*6)+(MIN(AO22,10)/10*4)+(MIN(AP22,10)/10*2),2)</f>
        <v/>
      </c>
      <c r="AS22" s="0">
        <f>L22+M22</f>
        <v/>
      </c>
      <c r="AT22" s="0" t="n">
        <v>3</v>
      </c>
      <c r="AU22" s="0" t="n">
        <v>2</v>
      </c>
      <c r="AV22" s="0" t="n">
        <v>2</v>
      </c>
      <c r="AW22" s="0">
        <f>MIN(10,AT22+AU22+AV22)</f>
        <v/>
      </c>
      <c r="AX22" s="0" t="n">
        <v>2</v>
      </c>
      <c r="AY22" s="0" t="n">
        <v>0.65</v>
      </c>
      <c r="AZ22" s="0" t="n">
        <v>0.85</v>
      </c>
      <c r="BA22" s="0" t="n">
        <v>0.5</v>
      </c>
      <c r="BB22" s="0">
        <f>ROUND((AX22/2*0.4+AY22/1.5*0.3+AZ22/1*0.2+BA22/0.5*0.1)*100,2)</f>
        <v/>
      </c>
      <c r="BC22" s="0">
        <f>ROUND(AC22+AH22+AI22+AL22+AQ22+AS22+AW22+(BB22/100*5),2)</f>
        <v/>
      </c>
      <c r="BD22" s="0">
        <f>IF(BC22&lt;=20,"极弱",IF(BC22&lt;=40,"偏弱",IF(BC22&lt;=60,"中等",IF(BC22&lt;=80,"较强","卓越"))))</f>
        <v/>
      </c>
      <c r="BH22" s="0" t="inlineStr">
        <is>
          <t>视频号/快手</t>
        </is>
      </c>
    </row>
    <row r="23">
      <c r="A23" s="0" t="n">
        <v>21</v>
      </c>
      <c r="B23" s="0" t="inlineStr">
        <is>
          <t>穿越了不仅得苟，还得抱大腿！</t>
        </is>
      </c>
      <c r="C23" s="0" t="inlineStr">
        <is>
          <t>/Users/mr.hu/Desktop/爆款排名/11.3日剧本/穿越了不仅得苟，还得抱大腿！.docx</t>
        </is>
      </c>
      <c r="E23" s="0" t="n">
        <v>28.31</v>
      </c>
      <c r="F23" s="0" t="n">
        <v>23</v>
      </c>
      <c r="G23" s="0">
        <f>IF(E23&lt;=8,"15–20集",IF(E23&lt;=20,"20–30集","30–40集"))</f>
        <v/>
      </c>
      <c r="H23" s="0" t="inlineStr">
        <is>
          <t>男频</t>
        </is>
      </c>
      <c r="I23" s="0" t="inlineStr">
        <is>
          <t>古代</t>
        </is>
      </c>
      <c r="J23" s="0" t="inlineStr">
        <is>
          <t>玄幻修仙</t>
        </is>
      </c>
      <c r="K23" s="0" t="inlineStr">
        <is>
          <t>武侠动作</t>
        </is>
      </c>
      <c r="L23" s="0" t="n">
        <v>4</v>
      </c>
      <c r="M23" s="0" t="n">
        <v>7</v>
      </c>
      <c r="N23" s="0" t="inlineStr">
        <is>
          <t>男性/一二线/45+</t>
        </is>
      </c>
      <c r="O23" s="0" t="inlineStr">
        <is>
          <t>节假日前后</t>
        </is>
      </c>
      <c r="P23" s="0" t="inlineStr">
        <is>
          <t>反转爽点</t>
        </is>
      </c>
      <c r="Q23" s="0" t="n">
        <v>3</v>
      </c>
      <c r="R23" s="0" t="n">
        <v>3</v>
      </c>
      <c r="S23" s="0" t="n">
        <v>1</v>
      </c>
      <c r="T23" s="0" t="n">
        <v>1</v>
      </c>
      <c r="U23" s="0" t="n">
        <v>1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4</v>
      </c>
      <c r="AA23" s="0" t="n">
        <v>2</v>
      </c>
      <c r="AB23" s="0" t="n">
        <v>1</v>
      </c>
      <c r="AC23" s="0">
        <f>Y23+Z23+AA23+AB23</f>
        <v/>
      </c>
      <c r="AD23" s="0" t="n">
        <v>4</v>
      </c>
      <c r="AE23" s="0" t="n">
        <v>5</v>
      </c>
      <c r="AF23" s="0" t="n">
        <v>2</v>
      </c>
      <c r="AG23" s="0" t="n">
        <v>0</v>
      </c>
      <c r="AH23" s="0">
        <f>AD23+AE23+AF23+AG23</f>
        <v/>
      </c>
      <c r="AI23" s="0">
        <f>Q23+R23+S23+T23</f>
        <v/>
      </c>
      <c r="AJ23" s="0" t="n">
        <v>3</v>
      </c>
      <c r="AL23" s="0">
        <f>AJ23+U23+V23+W23+X23</f>
        <v/>
      </c>
      <c r="AM23" s="0" t="n">
        <v>0.71</v>
      </c>
      <c r="AN23" s="0" t="n">
        <v>9.539999999999999</v>
      </c>
      <c r="AO23" s="0" t="n">
        <v>0</v>
      </c>
      <c r="AP23" s="0" t="n">
        <v>84</v>
      </c>
      <c r="AQ23" s="0">
        <f>ROUND((MIN(AM23,10)/10*8)+(MIN(AN23,10)/10*6)+(MIN(AO23,10)/10*4)+(MIN(AP23,10)/10*2),2)</f>
        <v/>
      </c>
      <c r="AS23" s="0">
        <f>L23+M23</f>
        <v/>
      </c>
      <c r="AT23" s="0" t="n">
        <v>3</v>
      </c>
      <c r="AU23" s="0" t="n">
        <v>2</v>
      </c>
      <c r="AV23" s="0" t="n">
        <v>2</v>
      </c>
      <c r="AW23" s="0">
        <f>MIN(10,AT23+AU23+AV23)</f>
        <v/>
      </c>
      <c r="AX23" s="0" t="n">
        <v>2</v>
      </c>
      <c r="AY23" s="0" t="n">
        <v>1.1</v>
      </c>
      <c r="AZ23" s="0" t="n">
        <v>0.7</v>
      </c>
      <c r="BA23" s="0" t="n">
        <v>0.5</v>
      </c>
      <c r="BB23" s="0">
        <f>ROUND((AX23/2*0.4+AY23/1.5*0.3+AZ23/1*0.2+BA23/0.5*0.1)*100,2)</f>
        <v/>
      </c>
      <c r="BC23" s="0">
        <f>ROUND(AC23+AH23+AI23+AL23+AQ23+AS23+AW23+(BB23/100*5),2)</f>
        <v/>
      </c>
      <c r="BD23" s="0">
        <f>IF(BC23&lt;=20,"极弱",IF(BC23&lt;=40,"偏弱",IF(BC23&lt;=60,"中等",IF(BC23&lt;=80,"较强","卓越"))))</f>
        <v/>
      </c>
      <c r="BH23" s="0" t="inlineStr">
        <is>
          <t>抖音/快手</t>
        </is>
      </c>
    </row>
    <row r="24">
      <c r="A24" s="0" t="n">
        <v>22</v>
      </c>
      <c r="B24" s="0" t="inlineStr">
        <is>
          <t>穿越成真假千金的总裁大哥！</t>
        </is>
      </c>
      <c r="C24" s="0" t="inlineStr">
        <is>
          <t>/Users/mr.hu/Desktop/爆款排名/11.3日剧本/穿越成真假千金的总裁大哥！.docx</t>
        </is>
      </c>
      <c r="E24" s="0" t="n">
        <v>30.33</v>
      </c>
      <c r="F24" s="0" t="n">
        <v>25</v>
      </c>
      <c r="G24" s="0">
        <f>IF(E24&lt;=8,"15–20集",IF(E24&lt;=20,"20–30集","30–40集"))</f>
        <v/>
      </c>
      <c r="H24" s="0" t="inlineStr">
        <is>
          <t>女频</t>
        </is>
      </c>
      <c r="I24" s="0" t="inlineStr">
        <is>
          <t>科幻/奇幻</t>
        </is>
      </c>
      <c r="J24" s="0" t="inlineStr">
        <is>
          <t>职场/商战</t>
        </is>
      </c>
      <c r="K24" s="0" t="inlineStr">
        <is>
          <t>写实都市</t>
        </is>
      </c>
      <c r="L24" s="0" t="n">
        <v>6</v>
      </c>
      <c r="M24" s="0" t="n">
        <v>4</v>
      </c>
      <c r="N24" s="0" t="inlineStr">
        <is>
          <t>女性/下沉/45+</t>
        </is>
      </c>
      <c r="O24" s="0" t="inlineStr">
        <is>
          <t>周末黄金</t>
        </is>
      </c>
      <c r="P24" s="0" t="inlineStr">
        <is>
          <t>知识信息量</t>
        </is>
      </c>
      <c r="Q24" s="0" t="n">
        <v>3</v>
      </c>
      <c r="R24" s="0" t="n">
        <v>2</v>
      </c>
      <c r="S24" s="0" t="n">
        <v>3</v>
      </c>
      <c r="T24" s="0" t="n">
        <v>1</v>
      </c>
      <c r="U24" s="0" t="n">
        <v>1</v>
      </c>
      <c r="V24" s="0" t="n">
        <v>2</v>
      </c>
      <c r="W24" s="0" t="n">
        <v>1</v>
      </c>
      <c r="X24" s="0" t="n">
        <v>1</v>
      </c>
      <c r="Y24" s="0" t="n">
        <v>6</v>
      </c>
      <c r="Z24" s="0" t="n">
        <v>4</v>
      </c>
      <c r="AA24" s="0" t="n">
        <v>0</v>
      </c>
      <c r="AB24" s="0" t="n">
        <v>2</v>
      </c>
      <c r="AC24" s="0">
        <f>Y24+Z24+AA24+AB24</f>
        <v/>
      </c>
      <c r="AD24" s="0" t="n">
        <v>5</v>
      </c>
      <c r="AE24" s="0" t="n">
        <v>6</v>
      </c>
      <c r="AF24" s="0" t="n">
        <v>2</v>
      </c>
      <c r="AG24" s="0" t="n">
        <v>1</v>
      </c>
      <c r="AH24" s="0">
        <f>AD24+AE24+AF24+AG24</f>
        <v/>
      </c>
      <c r="AI24" s="0">
        <f>Q24+R24+S24+T24</f>
        <v/>
      </c>
      <c r="AJ24" s="0" t="n">
        <v>3</v>
      </c>
      <c r="AL24" s="0">
        <f>AJ24+U24+V24+W24+X24</f>
        <v/>
      </c>
      <c r="AM24" s="0" t="n">
        <v>1.32</v>
      </c>
      <c r="AN24" s="0" t="n">
        <v>14.84</v>
      </c>
      <c r="AO24" s="0" t="n">
        <v>50</v>
      </c>
      <c r="AP24" s="0" t="n">
        <v>36</v>
      </c>
      <c r="AQ24" s="0">
        <f>ROUND((MIN(AM24,10)/10*8)+(MIN(AN24,10)/10*6)+(MIN(AO24,10)/10*4)+(MIN(AP24,10)/10*2),2)</f>
        <v/>
      </c>
      <c r="AS24" s="0">
        <f>L24+M24</f>
        <v/>
      </c>
      <c r="AT24" s="0" t="n">
        <v>3</v>
      </c>
      <c r="AU24" s="0" t="n">
        <v>2</v>
      </c>
      <c r="AV24" s="0" t="n">
        <v>2</v>
      </c>
      <c r="AW24" s="0">
        <f>MIN(10,AT24+AU24+AV24)</f>
        <v/>
      </c>
      <c r="AX24" s="0" t="n">
        <v>2</v>
      </c>
      <c r="AY24" s="0" t="n">
        <v>1.5</v>
      </c>
      <c r="AZ24" s="0" t="n">
        <v>0.678571428571428</v>
      </c>
      <c r="BA24" s="0" t="n">
        <v>0.5</v>
      </c>
      <c r="BB24" s="0">
        <f>ROUND((AX24/2*0.4+AY24/1.5*0.3+AZ24/1*0.2+BA24/0.5*0.1)*100,2)</f>
        <v/>
      </c>
      <c r="BC24" s="0">
        <f>ROUND(AC24+AH24+AI24+AL24+AQ24+AS24+AW24+(BB24/100*5),2)</f>
        <v/>
      </c>
      <c r="BD24" s="0">
        <f>IF(BC24&lt;=20,"极弱",IF(BC24&lt;=40,"偏弱",IF(BC24&lt;=60,"中等",IF(BC24&lt;=80,"较强","卓越"))))</f>
        <v/>
      </c>
      <c r="BH24" s="0" t="inlineStr">
        <is>
          <t>视频号/快手</t>
        </is>
      </c>
    </row>
    <row r="25">
      <c r="A25" s="0" t="n">
        <v>23</v>
      </c>
      <c r="B25" s="0" t="inlineStr">
        <is>
          <t>表白被拒：听劝成为男神后被倒追</t>
        </is>
      </c>
      <c r="C25" s="0" t="inlineStr">
        <is>
          <t>/Users/mr.hu/Desktop/爆款排名/11.3日剧本/表白被拒：听劝成为男神后被倒追.docx</t>
        </is>
      </c>
      <c r="E25" s="0" t="n">
        <v>18.44</v>
      </c>
      <c r="F25" s="0" t="n">
        <v>15</v>
      </c>
      <c r="G25" s="0">
        <f>IF(E25&lt;=8,"15–20集",IF(E25&lt;=20,"20–30集","30–40集"))</f>
        <v/>
      </c>
      <c r="H25" s="0" t="inlineStr">
        <is>
          <t>男频</t>
        </is>
      </c>
      <c r="I25" s="0" t="inlineStr">
        <is>
          <t>科幻/奇幻</t>
        </is>
      </c>
      <c r="J25" s="0" t="inlineStr">
        <is>
          <t>职场/商战</t>
        </is>
      </c>
      <c r="K25" s="0" t="inlineStr">
        <is>
          <t>写实都市</t>
        </is>
      </c>
      <c r="L25" s="0" t="n">
        <v>6</v>
      </c>
      <c r="M25" s="0" t="n">
        <v>7</v>
      </c>
      <c r="N25" s="0" t="inlineStr">
        <is>
          <t>男性/下沉/18–35</t>
        </is>
      </c>
      <c r="O25" s="0" t="inlineStr">
        <is>
          <t>节假日前后</t>
        </is>
      </c>
      <c r="P25" s="0" t="inlineStr">
        <is>
          <t>反转爽点</t>
        </is>
      </c>
      <c r="Q25" s="0" t="n">
        <v>3</v>
      </c>
      <c r="R25" s="0" t="n">
        <v>3</v>
      </c>
      <c r="S25" s="0" t="n">
        <v>3</v>
      </c>
      <c r="T25" s="0" t="n">
        <v>1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4</v>
      </c>
      <c r="AA25" s="0" t="n">
        <v>2</v>
      </c>
      <c r="AB25" s="0" t="n">
        <v>2</v>
      </c>
      <c r="AC25" s="0">
        <f>Y25+Z25+AA25+AB25</f>
        <v/>
      </c>
      <c r="AD25" s="0" t="n">
        <v>5</v>
      </c>
      <c r="AE25" s="0" t="n">
        <v>2</v>
      </c>
      <c r="AF25" s="0" t="n">
        <v>2</v>
      </c>
      <c r="AG25" s="0" t="n">
        <v>1</v>
      </c>
      <c r="AH25" s="0">
        <f>AD25+AE25+AF25+AG25</f>
        <v/>
      </c>
      <c r="AI25" s="0">
        <f>Q25+R25+S25+T25</f>
        <v/>
      </c>
      <c r="AJ25" s="0" t="n">
        <v>3</v>
      </c>
      <c r="AL25" s="0">
        <f>AJ25+U25+V25+W25+X25</f>
        <v/>
      </c>
      <c r="AM25" s="0" t="n">
        <v>0</v>
      </c>
      <c r="AN25" s="0" t="n">
        <v>0</v>
      </c>
      <c r="AO25" s="0" t="n">
        <v>25</v>
      </c>
      <c r="AP25" s="0" t="n">
        <v>12</v>
      </c>
      <c r="AQ25" s="0">
        <f>ROUND((MIN(AM25,10)/10*8)+(MIN(AN25,10)/10*6)+(MIN(AO25,10)/10*4)+(MIN(AP25,10)/10*2),2)</f>
        <v/>
      </c>
      <c r="AS25" s="0">
        <f>L25+M25</f>
        <v/>
      </c>
      <c r="AT25" s="0" t="n">
        <v>3</v>
      </c>
      <c r="AU25" s="0" t="n">
        <v>2</v>
      </c>
      <c r="AV25" s="0" t="n">
        <v>2</v>
      </c>
      <c r="AW25" s="0">
        <f>MIN(10,AT25+AU25+AV25)</f>
        <v/>
      </c>
      <c r="AX25" s="0" t="n">
        <v>2</v>
      </c>
      <c r="AY25" s="0" t="n">
        <v>0.5</v>
      </c>
      <c r="AZ25" s="0" t="n">
        <v>0.85</v>
      </c>
      <c r="BA25" s="0" t="n">
        <v>0.5</v>
      </c>
      <c r="BB25" s="0">
        <f>ROUND((AX25/2*0.4+AY25/1.5*0.3+AZ25/1*0.2+BA25/0.5*0.1)*100,2)</f>
        <v/>
      </c>
      <c r="BC25" s="0">
        <f>ROUND(AC25+AH25+AI25+AL25+AQ25+AS25+AW25+(BB25/100*5),2)</f>
        <v/>
      </c>
      <c r="BD25" s="0">
        <f>IF(BC25&lt;=20,"极弱",IF(BC25&lt;=40,"偏弱",IF(BC25&lt;=60,"中等",IF(BC25&lt;=80,"较强","卓越"))))</f>
        <v/>
      </c>
      <c r="BH25" s="0" t="inlineStr">
        <is>
          <t>视频号/快手</t>
        </is>
      </c>
    </row>
    <row r="26">
      <c r="A26" s="0" t="n">
        <v>24</v>
      </c>
      <c r="B26" s="0" t="inlineStr">
        <is>
          <t>让你冒充男朋友，你竟然来真的！</t>
        </is>
      </c>
      <c r="C26" s="0" t="inlineStr">
        <is>
          <t>/Users/mr.hu/Desktop/爆款排名/11.3日剧本/让你冒充男朋友，你竟然来真的！.docx</t>
        </is>
      </c>
      <c r="E26" s="0" t="n">
        <v>25.59</v>
      </c>
      <c r="F26" s="0" t="n">
        <v>21</v>
      </c>
      <c r="G26" s="0">
        <f>IF(E26&lt;=8,"15–20集",IF(E26&lt;=20,"20–30集","30–40集"))</f>
        <v/>
      </c>
      <c r="H26" s="0" t="inlineStr">
        <is>
          <t>男频</t>
        </is>
      </c>
      <c r="I26" s="0" t="inlineStr">
        <is>
          <t>古代</t>
        </is>
      </c>
      <c r="J26" s="0" t="inlineStr">
        <is>
          <t>职场/商战</t>
        </is>
      </c>
      <c r="K26" s="0" t="inlineStr">
        <is>
          <t>武侠动作</t>
        </is>
      </c>
      <c r="L26" s="0" t="n">
        <v>5</v>
      </c>
      <c r="M26" s="0" t="n">
        <v>5</v>
      </c>
      <c r="N26" s="0" t="inlineStr">
        <is>
          <t>男性/一二线/45+</t>
        </is>
      </c>
      <c r="O26" s="0" t="inlineStr">
        <is>
          <t>周末黄金</t>
        </is>
      </c>
      <c r="P26" s="0" t="inlineStr">
        <is>
          <t>知识信息量</t>
        </is>
      </c>
      <c r="Q26" s="0" t="n">
        <v>3</v>
      </c>
      <c r="R26" s="0" t="n">
        <v>3</v>
      </c>
      <c r="S26" s="0" t="n">
        <v>1</v>
      </c>
      <c r="T26" s="0" t="n">
        <v>1</v>
      </c>
      <c r="U26" s="0" t="n">
        <v>1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4</v>
      </c>
      <c r="AA26" s="0" t="n">
        <v>2</v>
      </c>
      <c r="AB26" s="0" t="n">
        <v>2</v>
      </c>
      <c r="AC26" s="0">
        <f>Y26+Z26+AA26+AB26</f>
        <v/>
      </c>
      <c r="AD26" s="0" t="n">
        <v>5</v>
      </c>
      <c r="AE26" s="0" t="n">
        <v>5</v>
      </c>
      <c r="AF26" s="0" t="n">
        <v>2</v>
      </c>
      <c r="AG26" s="0" t="n">
        <v>1</v>
      </c>
      <c r="AH26" s="0">
        <f>AD26+AE26+AF26+AG26</f>
        <v/>
      </c>
      <c r="AI26" s="0">
        <f>Q26+R26+S26+T26</f>
        <v/>
      </c>
      <c r="AJ26" s="0" t="n">
        <v>2</v>
      </c>
      <c r="AL26" s="0">
        <f>AJ26+U26+V26+W26+X26</f>
        <v/>
      </c>
      <c r="AM26" s="0" t="n">
        <v>3.91</v>
      </c>
      <c r="AN26" s="0" t="n">
        <v>5.86</v>
      </c>
      <c r="AO26" s="0" t="n">
        <v>0</v>
      </c>
      <c r="AP26" s="0" t="n">
        <v>12</v>
      </c>
      <c r="AQ26" s="0">
        <f>ROUND((MIN(AM26,10)/10*8)+(MIN(AN26,10)/10*6)+(MIN(AO26,10)/10*4)+(MIN(AP26,10)/10*2),2)</f>
        <v/>
      </c>
      <c r="AS26" s="0">
        <f>L26+M26</f>
        <v/>
      </c>
      <c r="AT26" s="0" t="n">
        <v>3</v>
      </c>
      <c r="AU26" s="0" t="n">
        <v>2</v>
      </c>
      <c r="AV26" s="0" t="n">
        <v>2</v>
      </c>
      <c r="AW26" s="0">
        <f>MIN(10,AT26+AU26+AV26)</f>
        <v/>
      </c>
      <c r="AX26" s="0" t="n">
        <v>2</v>
      </c>
      <c r="AY26" s="0" t="n">
        <v>1.5</v>
      </c>
      <c r="AZ26" s="0" t="n">
        <v>0.660714285714286</v>
      </c>
      <c r="BA26" s="0" t="n">
        <v>0.5</v>
      </c>
      <c r="BB26" s="0">
        <f>ROUND((AX26/2*0.4+AY26/1.5*0.3+AZ26/1*0.2+BA26/0.5*0.1)*100,2)</f>
        <v/>
      </c>
      <c r="BC26" s="0">
        <f>ROUND(AC26+AH26+AI26+AL26+AQ26+AS26+AW26+(BB26/100*5),2)</f>
        <v/>
      </c>
      <c r="BD26" s="0">
        <f>IF(BC26&lt;=20,"极弱",IF(BC26&lt;=40,"偏弱",IF(BC26&lt;=60,"中等",IF(BC26&lt;=80,"较强","卓越"))))</f>
        <v/>
      </c>
      <c r="BH26" s="0" t="inlineStr">
        <is>
          <t>抖音/快手</t>
        </is>
      </c>
    </row>
    <row r="27">
      <c r="A27" s="0" t="n">
        <v>25</v>
      </c>
      <c r="B27" s="0" t="inlineStr">
        <is>
          <t>都重生了，谁还打老婆</t>
        </is>
      </c>
      <c r="C27" s="0" t="inlineStr">
        <is>
          <t>/Users/mr.hu/Desktop/爆款排名/11.3日剧本/都重生了，谁还打老婆.docx</t>
        </is>
      </c>
      <c r="E27" s="0" t="n">
        <v>24.52</v>
      </c>
      <c r="F27" s="0" t="n">
        <v>20</v>
      </c>
      <c r="G27" s="0">
        <f>IF(E27&lt;=8,"15–20集",IF(E27&lt;=20,"20–30集","30–40集"))</f>
        <v/>
      </c>
      <c r="H27" s="0" t="inlineStr">
        <is>
          <t>男频</t>
        </is>
      </c>
      <c r="I27" s="0" t="inlineStr">
        <is>
          <t>科幻/奇幻</t>
        </is>
      </c>
      <c r="J27" s="0" t="inlineStr">
        <is>
          <t>职场/商战</t>
        </is>
      </c>
      <c r="K27" s="0" t="inlineStr">
        <is>
          <t>写实都市</t>
        </is>
      </c>
      <c r="L27" s="0" t="n">
        <v>5</v>
      </c>
      <c r="M27" s="0" t="n">
        <v>4</v>
      </c>
      <c r="N27" s="0" t="inlineStr">
        <is>
          <t>男性/下沉/45+</t>
        </is>
      </c>
      <c r="O27" s="0" t="inlineStr">
        <is>
          <t>周末黄金</t>
        </is>
      </c>
      <c r="P27" s="0" t="inlineStr">
        <is>
          <t>反转爽点</t>
        </is>
      </c>
      <c r="Q27" s="0" t="n">
        <v>3</v>
      </c>
      <c r="R27" s="0" t="n">
        <v>3</v>
      </c>
      <c r="S27" s="0" t="n">
        <v>3</v>
      </c>
      <c r="T27" s="0" t="n">
        <v>1</v>
      </c>
      <c r="U27" s="0" t="n">
        <v>2</v>
      </c>
      <c r="V27" s="0" t="n">
        <v>1</v>
      </c>
      <c r="W27" s="0" t="n">
        <v>1</v>
      </c>
      <c r="X27" s="0" t="n">
        <v>0</v>
      </c>
      <c r="Y27" s="0" t="n">
        <v>1</v>
      </c>
      <c r="Z27" s="0" t="n">
        <v>4</v>
      </c>
      <c r="AA27" s="0" t="n">
        <v>2</v>
      </c>
      <c r="AB27" s="0" t="n">
        <v>2</v>
      </c>
      <c r="AC27" s="0">
        <f>Y27+Z27+AA27+AB27</f>
        <v/>
      </c>
      <c r="AD27" s="0" t="n">
        <v>2</v>
      </c>
      <c r="AE27" s="0" t="n">
        <v>4</v>
      </c>
      <c r="AF27" s="0" t="n">
        <v>2</v>
      </c>
      <c r="AG27" s="0" t="n">
        <v>1</v>
      </c>
      <c r="AH27" s="0">
        <f>AD27+AE27+AF27+AG27</f>
        <v/>
      </c>
      <c r="AI27" s="0">
        <f>Q27+R27+S27+T27</f>
        <v/>
      </c>
      <c r="AJ27" s="0" t="n">
        <v>3</v>
      </c>
      <c r="AL27" s="0">
        <f>AJ27+U27+V27+W27+X27</f>
        <v/>
      </c>
      <c r="AM27" s="0" t="n">
        <v>1.63</v>
      </c>
      <c r="AN27" s="0" t="n">
        <v>3.67</v>
      </c>
      <c r="AO27" s="0" t="n">
        <v>0</v>
      </c>
      <c r="AP27" s="0" t="n">
        <v>36</v>
      </c>
      <c r="AQ27" s="0">
        <f>ROUND((MIN(AM27,10)/10*8)+(MIN(AN27,10)/10*6)+(MIN(AO27,10)/10*4)+(MIN(AP27,10)/10*2),2)</f>
        <v/>
      </c>
      <c r="AS27" s="0">
        <f>L27+M27</f>
        <v/>
      </c>
      <c r="AT27" s="0" t="n">
        <v>3</v>
      </c>
      <c r="AU27" s="0" t="n">
        <v>2</v>
      </c>
      <c r="AV27" s="0" t="n">
        <v>2</v>
      </c>
      <c r="AW27" s="0">
        <f>MIN(10,AT27+AU27+AV27)</f>
        <v/>
      </c>
      <c r="AX27" s="0" t="n">
        <v>2</v>
      </c>
      <c r="AY27" s="0" t="n">
        <v>0.5</v>
      </c>
      <c r="AZ27" s="0" t="n">
        <v>0.603571428571429</v>
      </c>
      <c r="BA27" s="0" t="n">
        <v>0</v>
      </c>
      <c r="BB27" s="0">
        <f>ROUND((AX27/2*0.4+AY27/1.5*0.3+AZ27/1*0.2+BA27/0.5*0.1)*100,2)</f>
        <v/>
      </c>
      <c r="BC27" s="0">
        <f>ROUND(AC27+AH27+AI27+AL27+AQ27+AS27+AW27+(BB27/100*5),2)</f>
        <v/>
      </c>
      <c r="BD27" s="0">
        <f>IF(BC27&lt;=20,"极弱",IF(BC27&lt;=40,"偏弱",IF(BC27&lt;=60,"中等",IF(BC27&lt;=80,"较强","卓越"))))</f>
        <v/>
      </c>
      <c r="BH27" s="0" t="inlineStr">
        <is>
          <t>视频号/快手</t>
        </is>
      </c>
    </row>
    <row r="28">
      <c r="A28" s="0" t="n">
        <v>26</v>
      </c>
      <c r="B28" s="0" t="inlineStr">
        <is>
          <t>重生1988，我有个随身农场</t>
        </is>
      </c>
      <c r="C28" s="0" t="inlineStr">
        <is>
          <t>/Users/mr.hu/Desktop/爆款排名/11.3日剧本/重生1988，我有个随身农场.docx</t>
        </is>
      </c>
      <c r="E28" s="0" t="n">
        <v>19.96</v>
      </c>
      <c r="F28" s="0" t="n">
        <v>16</v>
      </c>
      <c r="G28" s="0">
        <f>IF(E28&lt;=8,"15–20集",IF(E28&lt;=20,"20–30集","30–40集"))</f>
        <v/>
      </c>
      <c r="H28" s="0" t="inlineStr">
        <is>
          <t>男频</t>
        </is>
      </c>
      <c r="I28" s="0" t="inlineStr">
        <is>
          <t>科幻/奇幻</t>
        </is>
      </c>
      <c r="J28" s="0" t="inlineStr">
        <is>
          <t>职场/商战</t>
        </is>
      </c>
      <c r="K28" s="0" t="inlineStr">
        <is>
          <t>写实都市</t>
        </is>
      </c>
      <c r="L28" s="0" t="n">
        <v>8</v>
      </c>
      <c r="M28" s="0" t="n">
        <v>5</v>
      </c>
      <c r="N28" s="0" t="inlineStr">
        <is>
          <t>男性/下沉/45+</t>
        </is>
      </c>
      <c r="O28" s="0" t="inlineStr">
        <is>
          <t>周末黄金</t>
        </is>
      </c>
      <c r="P28" s="0" t="inlineStr">
        <is>
          <t>反转爽点</t>
        </is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3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2</v>
      </c>
      <c r="AB28" s="0" t="n">
        <v>2</v>
      </c>
      <c r="AC28" s="0">
        <f>Y28+Z28+AA28+AB28</f>
        <v/>
      </c>
      <c r="AD28" s="0" t="n">
        <v>2</v>
      </c>
      <c r="AE28" s="0" t="n">
        <v>4</v>
      </c>
      <c r="AF28" s="0" t="n">
        <v>2</v>
      </c>
      <c r="AG28" s="0" t="n">
        <v>0</v>
      </c>
      <c r="AH28" s="0">
        <f>AD28+AE28+AF28+AG28</f>
        <v/>
      </c>
      <c r="AI28" s="0">
        <f>Q28+R28+S28+T28</f>
        <v/>
      </c>
      <c r="AJ28" s="0" t="n">
        <v>3</v>
      </c>
      <c r="AL28" s="0">
        <f>AJ28+U28+V28+W28+X28</f>
        <v/>
      </c>
      <c r="AM28" s="0" t="n">
        <v>6.01</v>
      </c>
      <c r="AN28" s="0" t="n">
        <v>0</v>
      </c>
      <c r="AO28" s="0" t="n">
        <v>0</v>
      </c>
      <c r="AP28" s="0" t="n">
        <v>0</v>
      </c>
      <c r="AQ28" s="0">
        <f>ROUND((MIN(AM28,10)/10*8)+(MIN(AN28,10)/10*6)+(MIN(AO28,10)/10*4)+(MIN(AP28,10)/10*2),2)</f>
        <v/>
      </c>
      <c r="AS28" s="0">
        <f>L28+M28</f>
        <v/>
      </c>
      <c r="AT28" s="0" t="n">
        <v>3</v>
      </c>
      <c r="AU28" s="0" t="n">
        <v>2</v>
      </c>
      <c r="AV28" s="0" t="n">
        <v>2</v>
      </c>
      <c r="AW28" s="0">
        <f>MIN(10,AT28+AU28+AV28)</f>
        <v/>
      </c>
      <c r="AX28" s="0" t="n">
        <v>2</v>
      </c>
      <c r="AY28" s="0" t="n">
        <v>1.5</v>
      </c>
      <c r="AZ28" s="0" t="n">
        <v>0.885714285714286</v>
      </c>
      <c r="BA28" s="0" t="n">
        <v>0.3</v>
      </c>
      <c r="BB28" s="0">
        <f>ROUND((AX28/2*0.4+AY28/1.5*0.3+AZ28/1*0.2+BA28/0.5*0.1)*100,2)</f>
        <v/>
      </c>
      <c r="BC28" s="0">
        <f>ROUND(AC28+AH28+AI28+AL28+AQ28+AS28+AW28+(BB28/100*5),2)</f>
        <v/>
      </c>
      <c r="BD28" s="0">
        <f>IF(BC28&lt;=20,"极弱",IF(BC28&lt;=40,"偏弱",IF(BC28&lt;=60,"中等",IF(BC28&lt;=80,"较强","卓越"))))</f>
        <v/>
      </c>
      <c r="BH28" s="0" t="inlineStr">
        <is>
          <t>视频号/快手</t>
        </is>
      </c>
    </row>
    <row r="29">
      <c r="A29" s="0" t="n">
        <v>27</v>
      </c>
      <c r="B29" s="0" t="inlineStr">
        <is>
          <t>重生被赶出家门：忽悠校花摆地摊</t>
        </is>
      </c>
      <c r="C29" s="0" t="inlineStr">
        <is>
          <t>/Users/mr.hu/Desktop/爆款排名/11.3日剧本/重生被赶出家门：忽悠校花摆地摊.docx</t>
        </is>
      </c>
      <c r="E29" s="0" t="n">
        <v>25.54</v>
      </c>
      <c r="F29" s="0" t="n">
        <v>21</v>
      </c>
      <c r="G29" s="0">
        <f>IF(E29&lt;=8,"15–20集",IF(E29&lt;=20,"20–30集","30–40集"))</f>
        <v/>
      </c>
      <c r="H29" s="0" t="inlineStr">
        <is>
          <t>男频</t>
        </is>
      </c>
      <c r="I29" s="0" t="inlineStr">
        <is>
          <t>科幻/奇幻</t>
        </is>
      </c>
      <c r="J29" s="0" t="inlineStr">
        <is>
          <t>职场/商战</t>
        </is>
      </c>
      <c r="K29" s="0" t="inlineStr">
        <is>
          <t>写实都市</t>
        </is>
      </c>
      <c r="L29" s="0" t="n">
        <v>4</v>
      </c>
      <c r="M29" s="0" t="n">
        <v>5</v>
      </c>
      <c r="N29" s="0" t="inlineStr">
        <is>
          <t>男性/一二线/45+</t>
        </is>
      </c>
      <c r="O29" s="0" t="inlineStr">
        <is>
          <t>周末黄金</t>
        </is>
      </c>
      <c r="P29" s="0" t="inlineStr">
        <is>
          <t>反转爽点</t>
        </is>
      </c>
      <c r="Q29" s="0" t="n">
        <v>3</v>
      </c>
      <c r="R29" s="0" t="n">
        <v>3</v>
      </c>
      <c r="S29" s="0" t="n">
        <v>3</v>
      </c>
      <c r="T29" s="0" t="n">
        <v>1</v>
      </c>
      <c r="U29" s="0" t="n">
        <v>1</v>
      </c>
      <c r="V29" s="0" t="n">
        <v>2</v>
      </c>
      <c r="W29" s="0" t="n">
        <v>1</v>
      </c>
      <c r="X29" s="0" t="n">
        <v>0</v>
      </c>
      <c r="Y29" s="0" t="n">
        <v>1</v>
      </c>
      <c r="Z29" s="0" t="n">
        <v>4</v>
      </c>
      <c r="AA29" s="0" t="n">
        <v>2</v>
      </c>
      <c r="AB29" s="0" t="n">
        <v>2</v>
      </c>
      <c r="AC29" s="0">
        <f>Y29+Z29+AA29+AB29</f>
        <v/>
      </c>
      <c r="AD29" s="0" t="n">
        <v>5</v>
      </c>
      <c r="AE29" s="0" t="n">
        <v>4</v>
      </c>
      <c r="AF29" s="0" t="n">
        <v>2</v>
      </c>
      <c r="AG29" s="0" t="n">
        <v>1</v>
      </c>
      <c r="AH29" s="0">
        <f>AD29+AE29+AF29+AG29</f>
        <v/>
      </c>
      <c r="AI29" s="0">
        <f>Q29+R29+S29+T29</f>
        <v/>
      </c>
      <c r="AJ29" s="0" t="n">
        <v>3</v>
      </c>
      <c r="AL29" s="0">
        <f>AJ29+U29+V29+W29+X29</f>
        <v/>
      </c>
      <c r="AM29" s="0" t="n">
        <v>1.57</v>
      </c>
      <c r="AN29" s="0" t="n">
        <v>4.7</v>
      </c>
      <c r="AO29" s="0" t="n">
        <v>25</v>
      </c>
      <c r="AP29" s="0" t="n">
        <v>36</v>
      </c>
      <c r="AQ29" s="0">
        <f>ROUND((MIN(AM29,10)/10*8)+(MIN(AN29,10)/10*6)+(MIN(AO29,10)/10*4)+(MIN(AP29,10)/10*2),2)</f>
        <v/>
      </c>
      <c r="AS29" s="0">
        <f>L29+M29</f>
        <v/>
      </c>
      <c r="AT29" s="0" t="n">
        <v>3</v>
      </c>
      <c r="AU29" s="0" t="n">
        <v>2</v>
      </c>
      <c r="AV29" s="0" t="n">
        <v>2</v>
      </c>
      <c r="AW29" s="0">
        <f>MIN(10,AT29+AU29+AV29)</f>
        <v/>
      </c>
      <c r="AX29" s="0" t="n">
        <v>2</v>
      </c>
      <c r="AY29" s="0" t="n">
        <v>1.5</v>
      </c>
      <c r="AZ29" s="0" t="n">
        <v>0.585714285714286</v>
      </c>
      <c r="BA29" s="0" t="n">
        <v>0.3</v>
      </c>
      <c r="BB29" s="0">
        <f>ROUND((AX29/2*0.4+AY29/1.5*0.3+AZ29/1*0.2+BA29/0.5*0.1)*100,2)</f>
        <v/>
      </c>
      <c r="BC29" s="0">
        <f>ROUND(AC29+AH29+AI29+AL29+AQ29+AS29+AW29+(BB29/100*5),2)</f>
        <v/>
      </c>
      <c r="BD29" s="0">
        <f>IF(BC29&lt;=20,"极弱",IF(BC29&lt;=40,"偏弱",IF(BC29&lt;=60,"中等",IF(BC29&lt;=80,"较强","卓越"))))</f>
        <v/>
      </c>
      <c r="BH29" s="0" t="inlineStr">
        <is>
          <t>抖音/快手</t>
        </is>
      </c>
    </row>
    <row r="30">
      <c r="A30" s="0" t="n">
        <v>28</v>
      </c>
      <c r="B30" s="0" t="inlineStr">
        <is>
          <t>万亿GDP，你管这叫农村？</t>
        </is>
      </c>
      <c r="C30" s="0" t="inlineStr">
        <is>
          <t>/Users/mr.hu/Desktop/爆款排名/11.3日剧本/推荐/万亿GDP，你管这叫农村？.docx</t>
        </is>
      </c>
      <c r="E30" s="0" t="n">
        <v>26.05</v>
      </c>
      <c r="F30" s="0" t="n">
        <v>21</v>
      </c>
      <c r="G30" s="0">
        <f>IF(E30&lt;=8,"15–20集",IF(E30&lt;=20,"20–30集","30–40集"))</f>
        <v/>
      </c>
      <c r="H30" s="0" t="inlineStr">
        <is>
          <t>男频</t>
        </is>
      </c>
      <c r="I30" s="0" t="inlineStr">
        <is>
          <t>现代</t>
        </is>
      </c>
      <c r="J30" s="0" t="inlineStr">
        <is>
          <t>职场/商战</t>
        </is>
      </c>
      <c r="K30" s="0" t="inlineStr">
        <is>
          <t>写实都市</t>
        </is>
      </c>
      <c r="L30" s="0" t="n">
        <v>6</v>
      </c>
      <c r="M30" s="0" t="n">
        <v>5</v>
      </c>
      <c r="N30" s="0" t="inlineStr">
        <is>
          <t>男性/下沉/18–35</t>
        </is>
      </c>
      <c r="O30" s="0" t="inlineStr">
        <is>
          <t>节假日前后</t>
        </is>
      </c>
      <c r="P30" s="0" t="inlineStr">
        <is>
          <t>反转爽点</t>
        </is>
      </c>
      <c r="Q30" s="0" t="n">
        <v>3</v>
      </c>
      <c r="R30" s="0" t="n">
        <v>3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4</v>
      </c>
      <c r="Z30" s="0" t="n">
        <v>4</v>
      </c>
      <c r="AA30" s="0" t="n">
        <v>2</v>
      </c>
      <c r="AB30" s="0" t="n">
        <v>2</v>
      </c>
      <c r="AC30" s="0">
        <f>Y30+Z30+AA30+AB30</f>
        <v/>
      </c>
      <c r="AD30" s="0" t="n">
        <v>5</v>
      </c>
      <c r="AE30" s="0" t="n">
        <v>4</v>
      </c>
      <c r="AF30" s="0" t="n">
        <v>2</v>
      </c>
      <c r="AG30" s="0" t="n">
        <v>0</v>
      </c>
      <c r="AH30" s="0">
        <f>AD30+AE30+AF30+AG30</f>
        <v/>
      </c>
      <c r="AI30" s="0">
        <f>Q30+R30+S30+T30</f>
        <v/>
      </c>
      <c r="AJ30" s="0" t="n">
        <v>3</v>
      </c>
      <c r="AL30" s="0">
        <f>AJ30+U30+V30+W30+X30</f>
        <v/>
      </c>
      <c r="AM30" s="0" t="n">
        <v>5.37</v>
      </c>
      <c r="AN30" s="0" t="n">
        <v>3.46</v>
      </c>
      <c r="AO30" s="0" t="n">
        <v>0</v>
      </c>
      <c r="AP30" s="0" t="n">
        <v>48</v>
      </c>
      <c r="AQ30" s="0">
        <f>ROUND((MIN(AM30,10)/10*8)+(MIN(AN30,10)/10*6)+(MIN(AO30,10)/10*4)+(MIN(AP30,10)/10*2),2)</f>
        <v/>
      </c>
      <c r="AS30" s="0">
        <f>L30+M30</f>
        <v/>
      </c>
      <c r="AT30" s="0" t="n">
        <v>3</v>
      </c>
      <c r="AU30" s="0" t="n">
        <v>2</v>
      </c>
      <c r="AV30" s="0" t="n">
        <v>2</v>
      </c>
      <c r="AW30" s="0">
        <f>MIN(10,AT30+AU30+AV30)</f>
        <v/>
      </c>
      <c r="AX30" s="0" t="n">
        <v>2</v>
      </c>
      <c r="AY30" s="0" t="n">
        <v>0.5</v>
      </c>
      <c r="AZ30" s="0" t="n">
        <v>0.735714285714286</v>
      </c>
      <c r="BA30" s="0" t="n">
        <v>0.5</v>
      </c>
      <c r="BB30" s="0">
        <f>ROUND((AX30/2*0.4+AY30/1.5*0.3+AZ30/1*0.2+BA30/0.5*0.1)*100,2)</f>
        <v/>
      </c>
      <c r="BC30" s="0">
        <f>ROUND(AC30+AH30+AI30+AL30+AQ30+AS30+AW30+(BB30/100*5),2)</f>
        <v/>
      </c>
      <c r="BD30" s="0">
        <f>IF(BC30&lt;=20,"极弱",IF(BC30&lt;=40,"偏弱",IF(BC30&lt;=60,"中等",IF(BC30&lt;=80,"较强","卓越"))))</f>
        <v/>
      </c>
      <c r="BH30" s="0" t="inlineStr">
        <is>
          <t>视频号/快手</t>
        </is>
      </c>
    </row>
    <row r="31">
      <c r="A31" s="0" t="n">
        <v>29</v>
      </c>
      <c r="B31" s="0" t="inlineStr">
        <is>
          <t>下乡后，我选择要当农民</t>
        </is>
      </c>
      <c r="C31" s="0" t="inlineStr">
        <is>
          <t>/Users/mr.hu/Desktop/爆款排名/11.3日剧本/推荐/下乡后，我选择要当农民.docx</t>
        </is>
      </c>
      <c r="E31" s="0" t="n">
        <v>24.07</v>
      </c>
      <c r="F31" s="0" t="n">
        <v>20</v>
      </c>
      <c r="G31" s="0">
        <f>IF(E31&lt;=8,"15–20集",IF(E31&lt;=20,"20–30集","30–40集"))</f>
        <v/>
      </c>
      <c r="H31" s="0" t="inlineStr">
        <is>
          <t>男频</t>
        </is>
      </c>
      <c r="I31" s="0" t="inlineStr">
        <is>
          <t>古代</t>
        </is>
      </c>
      <c r="J31" s="0" t="inlineStr">
        <is>
          <t>古代权谋/科举</t>
        </is>
      </c>
      <c r="K31" s="0" t="inlineStr">
        <is>
          <t>古装群像</t>
        </is>
      </c>
      <c r="L31" s="0" t="n">
        <v>5</v>
      </c>
      <c r="M31" s="0" t="n">
        <v>7</v>
      </c>
      <c r="N31" s="0" t="inlineStr">
        <is>
          <t>男性/下沉/45+</t>
        </is>
      </c>
      <c r="O31" s="0" t="inlineStr">
        <is>
          <t>节假日前后</t>
        </is>
      </c>
      <c r="P31" s="0" t="inlineStr">
        <is>
          <t>反转爽点</t>
        </is>
      </c>
      <c r="Q31" s="0" t="n">
        <v>3</v>
      </c>
      <c r="R31" s="0" t="n">
        <v>3</v>
      </c>
      <c r="S31" s="0" t="n">
        <v>2</v>
      </c>
      <c r="T31" s="0" t="n">
        <v>1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4</v>
      </c>
      <c r="AA31" s="0" t="n">
        <v>2</v>
      </c>
      <c r="AB31" s="0" t="n">
        <v>2</v>
      </c>
      <c r="AC31" s="0">
        <f>Y31+Z31+AA31+AB31</f>
        <v/>
      </c>
      <c r="AD31" s="0" t="n">
        <v>4</v>
      </c>
      <c r="AE31" s="0" t="n">
        <v>4</v>
      </c>
      <c r="AF31" s="0" t="n">
        <v>3</v>
      </c>
      <c r="AG31" s="0" t="n">
        <v>1</v>
      </c>
      <c r="AH31" s="0">
        <f>AD31+AE31+AF31+AG31</f>
        <v/>
      </c>
      <c r="AI31" s="0">
        <f>Q31+R31+S31+T31</f>
        <v/>
      </c>
      <c r="AJ31" s="0" t="n">
        <v>3</v>
      </c>
      <c r="AL31" s="0">
        <f>AJ31+U31+V31+W31+X31</f>
        <v/>
      </c>
      <c r="AM31" s="0" t="n">
        <v>4.15</v>
      </c>
      <c r="AN31" s="0" t="n">
        <v>2.49</v>
      </c>
      <c r="AO31" s="0" t="n">
        <v>0</v>
      </c>
      <c r="AP31" s="0" t="n">
        <v>12</v>
      </c>
      <c r="AQ31" s="0">
        <f>ROUND((MIN(AM31,10)/10*8)+(MIN(AN31,10)/10*6)+(MIN(AO31,10)/10*4)+(MIN(AP31,10)/10*2),2)</f>
        <v/>
      </c>
      <c r="AS31" s="0">
        <f>L31+M31</f>
        <v/>
      </c>
      <c r="AT31" s="0" t="n">
        <v>3</v>
      </c>
      <c r="AU31" s="0" t="n">
        <v>2</v>
      </c>
      <c r="AV31" s="0" t="n">
        <v>2</v>
      </c>
      <c r="AW31" s="0">
        <f>MIN(10,AT31+AU31+AV31)</f>
        <v/>
      </c>
      <c r="AX31" s="0" t="n">
        <v>2</v>
      </c>
      <c r="AY31" s="0" t="n">
        <v>0.7</v>
      </c>
      <c r="AZ31" s="0" t="n">
        <v>0.775</v>
      </c>
      <c r="BA31" s="0" t="n">
        <v>0.5</v>
      </c>
      <c r="BB31" s="0">
        <f>ROUND((AX31/2*0.4+AY31/1.5*0.3+AZ31/1*0.2+BA31/0.5*0.1)*100,2)</f>
        <v/>
      </c>
      <c r="BC31" s="0">
        <f>ROUND(AC31+AH31+AI31+AL31+AQ31+AS31+AW31+(BB31/100*5),2)</f>
        <v/>
      </c>
      <c r="BD31" s="0">
        <f>IF(BC31&lt;=20,"极弱",IF(BC31&lt;=40,"偏弱",IF(BC31&lt;=60,"中等",IF(BC31&lt;=80,"较强","卓越"))))</f>
        <v/>
      </c>
      <c r="BH31" s="0" t="inlineStr">
        <is>
          <t>视频号/快手</t>
        </is>
      </c>
    </row>
    <row r="32">
      <c r="A32" s="0" t="n">
        <v>30</v>
      </c>
      <c r="B32" s="0" t="inlineStr">
        <is>
          <t>人在修仙世界，和谁都能五五开</t>
        </is>
      </c>
      <c r="C32" s="0" t="inlineStr">
        <is>
          <t>/Users/mr.hu/Desktop/爆款排名/11.3日剧本/推荐/人在修仙世界，和谁都能五五开.docx</t>
        </is>
      </c>
      <c r="E32" s="0" t="n">
        <v>25.22</v>
      </c>
      <c r="F32" s="0" t="n">
        <v>21</v>
      </c>
      <c r="G32" s="0">
        <f>IF(E32&lt;=8,"15–20集",IF(E32&lt;=20,"20–30集","30–40集"))</f>
        <v/>
      </c>
      <c r="H32" s="0" t="inlineStr">
        <is>
          <t>男频</t>
        </is>
      </c>
      <c r="I32" s="0" t="inlineStr">
        <is>
          <t>科幻/奇幻</t>
        </is>
      </c>
      <c r="J32" s="0" t="inlineStr">
        <is>
          <t>玄幻修仙</t>
        </is>
      </c>
      <c r="K32" s="0" t="inlineStr">
        <is>
          <t>武侠动作</t>
        </is>
      </c>
      <c r="L32" s="0" t="n">
        <v>7</v>
      </c>
      <c r="M32" s="0" t="n">
        <v>7</v>
      </c>
      <c r="N32" s="0" t="inlineStr">
        <is>
          <t>男性/一二线/18–35</t>
        </is>
      </c>
      <c r="O32" s="0" t="inlineStr">
        <is>
          <t>周末黄金</t>
        </is>
      </c>
      <c r="P32" s="0" t="inlineStr">
        <is>
          <t>成长救赎</t>
        </is>
      </c>
      <c r="Q32" s="0" t="n">
        <v>3</v>
      </c>
      <c r="R32" s="0" t="n">
        <v>3</v>
      </c>
      <c r="S32" s="0" t="n">
        <v>2</v>
      </c>
      <c r="T32" s="0" t="n">
        <v>0</v>
      </c>
      <c r="U32" s="0" t="n">
        <v>1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4</v>
      </c>
      <c r="AA32" s="0" t="n">
        <v>0</v>
      </c>
      <c r="AB32" s="0" t="n">
        <v>2</v>
      </c>
      <c r="AC32" s="0">
        <f>Y32+Z32+AA32+AB32</f>
        <v/>
      </c>
      <c r="AD32" s="0" t="n">
        <v>3</v>
      </c>
      <c r="AE32" s="0" t="n">
        <v>5</v>
      </c>
      <c r="AF32" s="0" t="n">
        <v>2</v>
      </c>
      <c r="AG32" s="0" t="n">
        <v>1</v>
      </c>
      <c r="AH32" s="0">
        <f>AD32+AE32+AF32+AG32</f>
        <v/>
      </c>
      <c r="AI32" s="0">
        <f>Q32+R32+S32+T32</f>
        <v/>
      </c>
      <c r="AJ32" s="0" t="n">
        <v>2</v>
      </c>
      <c r="AL32" s="0">
        <f>AJ32+U32+V32+W32+X32</f>
        <v/>
      </c>
      <c r="AM32" s="0" t="n">
        <v>3.97</v>
      </c>
      <c r="AN32" s="0" t="n">
        <v>3.57</v>
      </c>
      <c r="AO32" s="0" t="n">
        <v>0</v>
      </c>
      <c r="AP32" s="0" t="n">
        <v>24</v>
      </c>
      <c r="AQ32" s="0">
        <f>ROUND((MIN(AM32,10)/10*8)+(MIN(AN32,10)/10*6)+(MIN(AO32,10)/10*4)+(MIN(AP32,10)/10*2),2)</f>
        <v/>
      </c>
      <c r="AS32" s="0">
        <f>L32+M32</f>
        <v/>
      </c>
      <c r="AT32" s="0" t="n">
        <v>3</v>
      </c>
      <c r="AU32" s="0" t="n">
        <v>2</v>
      </c>
      <c r="AV32" s="0" t="n">
        <v>3</v>
      </c>
      <c r="AW32" s="0">
        <f>MIN(10,AT32+AU32+AV32)</f>
        <v/>
      </c>
      <c r="AX32" s="0" t="n">
        <v>2</v>
      </c>
      <c r="AY32" s="0" t="n">
        <v>1.5</v>
      </c>
      <c r="AZ32" s="0" t="n">
        <v>0.925</v>
      </c>
      <c r="BA32" s="0" t="n">
        <v>0.5</v>
      </c>
      <c r="BB32" s="0">
        <f>ROUND((AX32/2*0.4+AY32/1.5*0.3+AZ32/1*0.2+BA32/0.5*0.1)*100,2)</f>
        <v/>
      </c>
      <c r="BC32" s="0">
        <f>ROUND(AC32+AH32+AI32+AL32+AQ32+AS32+AW32+(BB32/100*5),2)</f>
        <v/>
      </c>
      <c r="BD32" s="0">
        <f>IF(BC32&lt;=20,"极弱",IF(BC32&lt;=40,"偏弱",IF(BC32&lt;=60,"中等",IF(BC32&lt;=80,"较强","卓越"))))</f>
        <v/>
      </c>
      <c r="BH32" s="0" t="inlineStr">
        <is>
          <t>抖音/快手</t>
        </is>
      </c>
    </row>
    <row r="33">
      <c r="A33" s="0" t="n">
        <v>31</v>
      </c>
      <c r="B33" s="0" t="inlineStr">
        <is>
          <t>修行百世，我是都市无敌神医</t>
        </is>
      </c>
      <c r="C33" s="0" t="inlineStr">
        <is>
          <t>/Users/mr.hu/Desktop/爆款排名/11.3日剧本/推荐/修行百世，我是都市无敌神医.docx</t>
        </is>
      </c>
      <c r="E33" s="0" t="n">
        <v>23.37</v>
      </c>
      <c r="F33" s="0" t="n">
        <v>19</v>
      </c>
      <c r="G33" s="0">
        <f>IF(E33&lt;=8,"15–20集",IF(E33&lt;=20,"20–30集","30–40集"))</f>
        <v/>
      </c>
      <c r="H33" s="0" t="inlineStr">
        <is>
          <t>男频</t>
        </is>
      </c>
      <c r="I33" s="0" t="inlineStr">
        <is>
          <t>科幻/奇幻</t>
        </is>
      </c>
      <c r="J33" s="0" t="inlineStr">
        <is>
          <t>职场/商战</t>
        </is>
      </c>
      <c r="K33" s="0" t="inlineStr">
        <is>
          <t>写实都市</t>
        </is>
      </c>
      <c r="L33" s="0" t="n">
        <v>5</v>
      </c>
      <c r="M33" s="0" t="n">
        <v>5</v>
      </c>
      <c r="N33" s="0" t="inlineStr">
        <is>
          <t>男性/下沉/45+</t>
        </is>
      </c>
      <c r="O33" s="0" t="inlineStr">
        <is>
          <t>节假日前后</t>
        </is>
      </c>
      <c r="P33" s="0" t="inlineStr">
        <is>
          <t>反转爽点</t>
        </is>
      </c>
      <c r="Q33" s="0" t="n">
        <v>1</v>
      </c>
      <c r="R33" s="0" t="n">
        <v>3</v>
      </c>
      <c r="S33" s="0" t="n">
        <v>3</v>
      </c>
      <c r="T33" s="0" t="n">
        <v>1</v>
      </c>
      <c r="U33" s="0" t="n">
        <v>1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4</v>
      </c>
      <c r="AA33" s="0" t="n">
        <v>2</v>
      </c>
      <c r="AB33" s="0" t="n">
        <v>1</v>
      </c>
      <c r="AC33" s="0">
        <f>Y33+Z33+AA33+AB33</f>
        <v/>
      </c>
      <c r="AD33" s="0" t="n">
        <v>2</v>
      </c>
      <c r="AE33" s="0" t="n">
        <v>2</v>
      </c>
      <c r="AF33" s="0" t="n">
        <v>2</v>
      </c>
      <c r="AG33" s="0" t="n">
        <v>1</v>
      </c>
      <c r="AH33" s="0">
        <f>AD33+AE33+AF33+AG33</f>
        <v/>
      </c>
      <c r="AI33" s="0">
        <f>Q33+R33+S33+T33</f>
        <v/>
      </c>
      <c r="AJ33" s="0" t="n">
        <v>3</v>
      </c>
      <c r="AL33" s="0">
        <f>AJ33+U33+V33+W33+X33</f>
        <v/>
      </c>
      <c r="AM33" s="0" t="n">
        <v>0</v>
      </c>
      <c r="AN33" s="0" t="n">
        <v>1.28</v>
      </c>
      <c r="AO33" s="0" t="n">
        <v>0</v>
      </c>
      <c r="AP33" s="0" t="n">
        <v>24</v>
      </c>
      <c r="AQ33" s="0">
        <f>ROUND((MIN(AM33,10)/10*8)+(MIN(AN33,10)/10*6)+(MIN(AO33,10)/10*4)+(MIN(AP33,10)/10*2),2)</f>
        <v/>
      </c>
      <c r="AS33" s="0">
        <f>L33+M33</f>
        <v/>
      </c>
      <c r="AT33" s="0" t="n">
        <v>3</v>
      </c>
      <c r="AU33" s="0" t="n">
        <v>2</v>
      </c>
      <c r="AV33" s="0" t="n">
        <v>2</v>
      </c>
      <c r="AW33" s="0">
        <f>MIN(10,AT33+AU33+AV33)</f>
        <v/>
      </c>
      <c r="AX33" s="0" t="n">
        <v>2</v>
      </c>
      <c r="AY33" s="0" t="n">
        <v>1.15</v>
      </c>
      <c r="AZ33" s="0" t="n">
        <v>0.660714285714286</v>
      </c>
      <c r="BA33" s="0" t="n">
        <v>0.5</v>
      </c>
      <c r="BB33" s="0">
        <f>ROUND((AX33/2*0.4+AY33/1.5*0.3+AZ33/1*0.2+BA33/0.5*0.1)*100,2)</f>
        <v/>
      </c>
      <c r="BC33" s="0">
        <f>ROUND(AC33+AH33+AI33+AL33+AQ33+AS33+AW33+(BB33/100*5),2)</f>
        <v/>
      </c>
      <c r="BD33" s="0">
        <f>IF(BC33&lt;=20,"极弱",IF(BC33&lt;=40,"偏弱",IF(BC33&lt;=60,"中等",IF(BC33&lt;=80,"较强","卓越"))))</f>
        <v/>
      </c>
      <c r="BH33" s="0" t="inlineStr">
        <is>
          <t>视频号/快手</t>
        </is>
      </c>
    </row>
    <row r="34">
      <c r="A34" s="0" t="n">
        <v>32</v>
      </c>
      <c r="B34" s="0" t="inlineStr">
        <is>
          <t>带着超市回到60年代女儿一直哭</t>
        </is>
      </c>
      <c r="C34" s="0" t="inlineStr">
        <is>
          <t>/Users/mr.hu/Desktop/爆款排名/11.3日剧本/推荐/带着超市回到60年代女儿一直哭.docx</t>
        </is>
      </c>
      <c r="E34" s="0" t="n">
        <v>21.73</v>
      </c>
      <c r="F34" s="0" t="n">
        <v>18</v>
      </c>
      <c r="G34" s="0">
        <f>IF(E34&lt;=8,"15–20集",IF(E34&lt;=20,"20–30集","30–40集"))</f>
        <v/>
      </c>
      <c r="H34" s="0" t="inlineStr">
        <is>
          <t>男频</t>
        </is>
      </c>
      <c r="I34" s="0" t="inlineStr">
        <is>
          <t>科幻/奇幻</t>
        </is>
      </c>
      <c r="J34" s="0" t="inlineStr">
        <is>
          <t>职场/商战</t>
        </is>
      </c>
      <c r="K34" s="0" t="inlineStr">
        <is>
          <t>写实都市</t>
        </is>
      </c>
      <c r="L34" s="0" t="n">
        <v>8</v>
      </c>
      <c r="M34" s="0" t="n">
        <v>7</v>
      </c>
      <c r="N34" s="0" t="inlineStr">
        <is>
          <t>男性/下沉/45+</t>
        </is>
      </c>
      <c r="O34" s="0" t="inlineStr">
        <is>
          <t>周末黄金</t>
        </is>
      </c>
      <c r="P34" s="0" t="inlineStr">
        <is>
          <t>反转爽点</t>
        </is>
      </c>
      <c r="Q34" s="0" t="n">
        <v>3</v>
      </c>
      <c r="R34" s="0" t="n">
        <v>3</v>
      </c>
      <c r="S34" s="0" t="n">
        <v>1</v>
      </c>
      <c r="T34" s="0" t="n">
        <v>1</v>
      </c>
      <c r="U34" s="0" t="n">
        <v>2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4</v>
      </c>
      <c r="AA34" s="0" t="n">
        <v>2</v>
      </c>
      <c r="AB34" s="0" t="n">
        <v>2</v>
      </c>
      <c r="AC34" s="0">
        <f>Y34+Z34+AA34+AB34</f>
        <v/>
      </c>
      <c r="AD34" s="0" t="n">
        <v>1</v>
      </c>
      <c r="AE34" s="0" t="n">
        <v>2</v>
      </c>
      <c r="AF34" s="0" t="n">
        <v>2</v>
      </c>
      <c r="AG34" s="0" t="n">
        <v>0</v>
      </c>
      <c r="AH34" s="0">
        <f>AD34+AE34+AF34+AG34</f>
        <v/>
      </c>
      <c r="AI34" s="0">
        <f>Q34+R34+S34+T34</f>
        <v/>
      </c>
      <c r="AJ34" s="0" t="n">
        <v>2</v>
      </c>
      <c r="AL34" s="0">
        <f>AJ34+U34+V34+W34+X34</f>
        <v/>
      </c>
      <c r="AM34" s="0" t="n">
        <v>0.92</v>
      </c>
      <c r="AN34" s="0" t="n">
        <v>1.38</v>
      </c>
      <c r="AO34" s="0" t="n">
        <v>0</v>
      </c>
      <c r="AP34" s="0" t="n">
        <v>0</v>
      </c>
      <c r="AQ34" s="0">
        <f>ROUND((MIN(AM34,10)/10*8)+(MIN(AN34,10)/10*6)+(MIN(AO34,10)/10*4)+(MIN(AP34,10)/10*2),2)</f>
        <v/>
      </c>
      <c r="AS34" s="0">
        <f>L34+M34</f>
        <v/>
      </c>
      <c r="AT34" s="0" t="n">
        <v>2</v>
      </c>
      <c r="AU34" s="0" t="n">
        <v>2</v>
      </c>
      <c r="AV34" s="0" t="n">
        <v>2</v>
      </c>
      <c r="AW34" s="0">
        <f>MIN(10,AT34+AU34+AV34)</f>
        <v/>
      </c>
      <c r="AX34" s="0" t="n">
        <v>1</v>
      </c>
      <c r="AY34" s="0" t="n">
        <v>1.5</v>
      </c>
      <c r="AZ34" s="0" t="n">
        <v>1</v>
      </c>
      <c r="BA34" s="0" t="n">
        <v>0.5</v>
      </c>
      <c r="BB34" s="0">
        <f>ROUND((AX34/2*0.4+AY34/1.5*0.3+AZ34/1*0.2+BA34/0.5*0.1)*100,2)</f>
        <v/>
      </c>
      <c r="BC34" s="0">
        <f>ROUND(AC34+AH34+AI34+AL34+AQ34+AS34+AW34+(BB34/100*5),2)</f>
        <v/>
      </c>
      <c r="BD34" s="0">
        <f>IF(BC34&lt;=20,"极弱",IF(BC34&lt;=40,"偏弱",IF(BC34&lt;=60,"中等",IF(BC34&lt;=80,"较强","卓越"))))</f>
        <v/>
      </c>
      <c r="BH34" s="0" t="inlineStr">
        <is>
          <t>视频号/快手</t>
        </is>
      </c>
    </row>
    <row r="35">
      <c r="A35" s="0" t="n">
        <v>33</v>
      </c>
      <c r="B35" s="0" t="inlineStr">
        <is>
          <t>开局俏寡妇就上门</t>
        </is>
      </c>
      <c r="C35" s="0" t="inlineStr">
        <is>
          <t>/Users/mr.hu/Desktop/爆款排名/11.3日剧本/推荐/开局俏寡妇就上门.docx</t>
        </is>
      </c>
      <c r="E35" s="0" t="n">
        <v>24.82</v>
      </c>
      <c r="F35" s="0" t="n">
        <v>20</v>
      </c>
      <c r="G35" s="0">
        <f>IF(E35&lt;=8,"15–20集",IF(E35&lt;=20,"20–30集","30–40集"))</f>
        <v/>
      </c>
      <c r="H35" s="0" t="inlineStr">
        <is>
          <t>男频</t>
        </is>
      </c>
      <c r="I35" s="0" t="inlineStr">
        <is>
          <t>科幻/奇幻</t>
        </is>
      </c>
      <c r="J35" s="0" t="inlineStr">
        <is>
          <t>职场/商战</t>
        </is>
      </c>
      <c r="K35" s="0" t="inlineStr">
        <is>
          <t>写实都市</t>
        </is>
      </c>
      <c r="L35" s="0" t="n">
        <v>6</v>
      </c>
      <c r="M35" s="0" t="n">
        <v>7</v>
      </c>
      <c r="N35" s="0" t="inlineStr">
        <is>
          <t>男性/下沉/45+</t>
        </is>
      </c>
      <c r="O35" s="0" t="inlineStr">
        <is>
          <t>周末黄金</t>
        </is>
      </c>
      <c r="P35" s="0" t="inlineStr">
        <is>
          <t>反转爽点</t>
        </is>
      </c>
      <c r="Q35" s="0" t="n">
        <v>3</v>
      </c>
      <c r="R35" s="0" t="n">
        <v>1</v>
      </c>
      <c r="S35" s="0" t="n">
        <v>3</v>
      </c>
      <c r="T35" s="0" t="n">
        <v>0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4</v>
      </c>
      <c r="AA35" s="0" t="n">
        <v>2</v>
      </c>
      <c r="AB35" s="0" t="n">
        <v>2</v>
      </c>
      <c r="AC35" s="0">
        <f>Y35+Z35+AA35+AB35</f>
        <v/>
      </c>
      <c r="AD35" s="0" t="n">
        <v>3</v>
      </c>
      <c r="AE35" s="0" t="n">
        <v>5</v>
      </c>
      <c r="AF35" s="0" t="n">
        <v>2</v>
      </c>
      <c r="AG35" s="0" t="n">
        <v>1</v>
      </c>
      <c r="AH35" s="0">
        <f>AD35+AE35+AF35+AG35</f>
        <v/>
      </c>
      <c r="AI35" s="0">
        <f>Q35+R35+S35+T35</f>
        <v/>
      </c>
      <c r="AJ35" s="0" t="n">
        <v>2</v>
      </c>
      <c r="AL35" s="0">
        <f>AJ35+U35+V35+W35+X35</f>
        <v/>
      </c>
      <c r="AM35" s="0" t="n">
        <v>1.61</v>
      </c>
      <c r="AN35" s="0" t="n">
        <v>6.04</v>
      </c>
      <c r="AO35" s="0" t="n">
        <v>25</v>
      </c>
      <c r="AP35" s="0" t="n">
        <v>36</v>
      </c>
      <c r="AQ35" s="0">
        <f>ROUND((MIN(AM35,10)/10*8)+(MIN(AN35,10)/10*6)+(MIN(AO35,10)/10*4)+(MIN(AP35,10)/10*2),2)</f>
        <v/>
      </c>
      <c r="AS35" s="0">
        <f>L35+M35</f>
        <v/>
      </c>
      <c r="AT35" s="0" t="n">
        <v>3</v>
      </c>
      <c r="AU35" s="0" t="n">
        <v>2</v>
      </c>
      <c r="AV35" s="0" t="n">
        <v>3</v>
      </c>
      <c r="AW35" s="0">
        <f>MIN(10,AT35+AU35+AV35)</f>
        <v/>
      </c>
      <c r="AX35" s="0" t="n">
        <v>2</v>
      </c>
      <c r="AY35" s="0" t="n">
        <v>1.5</v>
      </c>
      <c r="AZ35" s="0" t="n">
        <v>0.85</v>
      </c>
      <c r="BA35" s="0" t="n">
        <v>0.5</v>
      </c>
      <c r="BB35" s="0">
        <f>ROUND((AX35/2*0.4+AY35/1.5*0.3+AZ35/1*0.2+BA35/0.5*0.1)*100,2)</f>
        <v/>
      </c>
      <c r="BC35" s="0">
        <f>ROUND(AC35+AH35+AI35+AL35+AQ35+AS35+AW35+(BB35/100*5),2)</f>
        <v/>
      </c>
      <c r="BD35" s="0">
        <f>IF(BC35&lt;=20,"极弱",IF(BC35&lt;=40,"偏弱",IF(BC35&lt;=60,"中等",IF(BC35&lt;=80,"较强","卓越"))))</f>
        <v/>
      </c>
      <c r="BH35" s="0" t="inlineStr">
        <is>
          <t>视频号/快手</t>
        </is>
      </c>
    </row>
    <row r="36">
      <c r="A36" s="0" t="n">
        <v>34</v>
      </c>
      <c r="B36" s="0" t="inlineStr">
        <is>
          <t>快穿猎杀手册</t>
        </is>
      </c>
      <c r="C36" s="0" t="inlineStr">
        <is>
          <t>/Users/mr.hu/Desktop/爆款排名/11.3日剧本/推荐/快穿猎杀手册.docx</t>
        </is>
      </c>
      <c r="E36" s="0" t="n">
        <v>23.14</v>
      </c>
      <c r="F36" s="0" t="n">
        <v>19</v>
      </c>
      <c r="G36" s="0">
        <f>IF(E36&lt;=8,"15–20集",IF(E36&lt;=20,"20–30集","30–40集"))</f>
        <v/>
      </c>
      <c r="H36" s="0" t="inlineStr">
        <is>
          <t>男频</t>
        </is>
      </c>
      <c r="I36" s="0" t="inlineStr">
        <is>
          <t>古代</t>
        </is>
      </c>
      <c r="J36" s="0" t="inlineStr">
        <is>
          <t>古代权谋/科举</t>
        </is>
      </c>
      <c r="K36" s="0" t="inlineStr">
        <is>
          <t>武侠动作</t>
        </is>
      </c>
      <c r="L36" s="0" t="n">
        <v>5</v>
      </c>
      <c r="M36" s="0" t="n">
        <v>4</v>
      </c>
      <c r="N36" s="0" t="inlineStr">
        <is>
          <t>男性/一二线/45+</t>
        </is>
      </c>
      <c r="O36" s="0" t="inlineStr">
        <is>
          <t>周末黄金</t>
        </is>
      </c>
      <c r="P36" s="0" t="inlineStr">
        <is>
          <t>反转爽点</t>
        </is>
      </c>
      <c r="Q36" s="0" t="n">
        <v>3</v>
      </c>
      <c r="R36" s="0" t="n">
        <v>2</v>
      </c>
      <c r="S36" s="0" t="n">
        <v>2</v>
      </c>
      <c r="T36" s="0" t="n">
        <v>1</v>
      </c>
      <c r="U36" s="0" t="n">
        <v>1</v>
      </c>
      <c r="V36" s="0" t="n">
        <v>2</v>
      </c>
      <c r="W36" s="0" t="n">
        <v>0</v>
      </c>
      <c r="X36" s="0" t="n">
        <v>1</v>
      </c>
      <c r="Y36" s="0" t="n">
        <v>0</v>
      </c>
      <c r="Z36" s="0" t="n">
        <v>4</v>
      </c>
      <c r="AA36" s="0" t="n">
        <v>2</v>
      </c>
      <c r="AB36" s="0" t="n">
        <v>2</v>
      </c>
      <c r="AC36" s="0">
        <f>Y36+Z36+AA36+AB36</f>
        <v/>
      </c>
      <c r="AD36" s="0" t="n">
        <v>3</v>
      </c>
      <c r="AE36" s="0" t="n">
        <v>3</v>
      </c>
      <c r="AF36" s="0" t="n">
        <v>3</v>
      </c>
      <c r="AG36" s="0" t="n">
        <v>1</v>
      </c>
      <c r="AH36" s="0">
        <f>AD36+AE36+AF36+AG36</f>
        <v/>
      </c>
      <c r="AI36" s="0">
        <f>Q36+R36+S36+T36</f>
        <v/>
      </c>
      <c r="AJ36" s="0" t="n">
        <v>3</v>
      </c>
      <c r="AL36" s="0">
        <f>AJ36+U36+V36+W36+X36</f>
        <v/>
      </c>
      <c r="AM36" s="0" t="n">
        <v>0.86</v>
      </c>
      <c r="AN36" s="0" t="n">
        <v>2.59</v>
      </c>
      <c r="AO36" s="0" t="n">
        <v>25</v>
      </c>
      <c r="AP36" s="0" t="n">
        <v>0</v>
      </c>
      <c r="AQ36" s="0">
        <f>ROUND((MIN(AM36,10)/10*8)+(MIN(AN36,10)/10*6)+(MIN(AO36,10)/10*4)+(MIN(AP36,10)/10*2),2)</f>
        <v/>
      </c>
      <c r="AS36" s="0">
        <f>L36+M36</f>
        <v/>
      </c>
      <c r="AT36" s="0" t="n">
        <v>3</v>
      </c>
      <c r="AU36" s="0" t="n">
        <v>2</v>
      </c>
      <c r="AV36" s="0" t="n">
        <v>2</v>
      </c>
      <c r="AW36" s="0">
        <f>MIN(10,AT36+AU36+AV36)</f>
        <v/>
      </c>
      <c r="AX36" s="0" t="n">
        <v>2</v>
      </c>
      <c r="AY36" s="0" t="n">
        <v>0.7</v>
      </c>
      <c r="AZ36" s="0" t="n">
        <v>0.603571428571429</v>
      </c>
      <c r="BA36" s="0" t="n">
        <v>0.5</v>
      </c>
      <c r="BB36" s="0">
        <f>ROUND((AX36/2*0.4+AY36/1.5*0.3+AZ36/1*0.2+BA36/0.5*0.1)*100,2)</f>
        <v/>
      </c>
      <c r="BC36" s="0">
        <f>ROUND(AC36+AH36+AI36+AL36+AQ36+AS36+AW36+(BB36/100*5),2)</f>
        <v/>
      </c>
      <c r="BD36" s="0">
        <f>IF(BC36&lt;=20,"极弱",IF(BC36&lt;=40,"偏弱",IF(BC36&lt;=60,"中等",IF(BC36&lt;=80,"较强","卓越"))))</f>
        <v/>
      </c>
      <c r="BH36" s="0" t="inlineStr">
        <is>
          <t>抖音/快手</t>
        </is>
      </c>
    </row>
    <row r="37">
      <c r="A37" s="0" t="n">
        <v>35</v>
      </c>
      <c r="B37" s="0" t="inlineStr">
        <is>
          <t>护花系统：我靠植物人老婆成首富</t>
        </is>
      </c>
      <c r="C37" s="0" t="inlineStr">
        <is>
          <t>/Users/mr.hu/Desktop/爆款排名/11.3日剧本/推荐/护花系统：我靠植物人老婆成首富.docx</t>
        </is>
      </c>
      <c r="E37" s="0" t="n">
        <v>21.53</v>
      </c>
      <c r="F37" s="0" t="n">
        <v>17</v>
      </c>
      <c r="G37" s="0">
        <f>IF(E37&lt;=8,"15–20集",IF(E37&lt;=20,"20–30集","30–40集"))</f>
        <v/>
      </c>
      <c r="H37" s="0" t="inlineStr">
        <is>
          <t>男频</t>
        </is>
      </c>
      <c r="I37" s="0" t="inlineStr">
        <is>
          <t>现代</t>
        </is>
      </c>
      <c r="J37" s="0" t="inlineStr">
        <is>
          <t>职场/商战</t>
        </is>
      </c>
      <c r="K37" s="0" t="inlineStr">
        <is>
          <t>写实都市</t>
        </is>
      </c>
      <c r="L37" s="0" t="n">
        <v>5</v>
      </c>
      <c r="M37" s="0" t="n">
        <v>7</v>
      </c>
      <c r="N37" s="0" t="inlineStr">
        <is>
          <t>男性/下沉/45+</t>
        </is>
      </c>
      <c r="O37" s="0" t="inlineStr">
        <is>
          <t>节假日前后</t>
        </is>
      </c>
      <c r="P37" s="0" t="inlineStr">
        <is>
          <t>成长救赎</t>
        </is>
      </c>
      <c r="Q37" s="0" t="n">
        <v>3</v>
      </c>
      <c r="R37" s="0" t="n">
        <v>3</v>
      </c>
      <c r="S37" s="0" t="n">
        <v>2</v>
      </c>
      <c r="T37" s="0" t="n">
        <v>1</v>
      </c>
      <c r="U37" s="0" t="n">
        <v>1</v>
      </c>
      <c r="V37" s="0" t="n">
        <v>2</v>
      </c>
      <c r="W37" s="0" t="n">
        <v>1</v>
      </c>
      <c r="X37" s="0" t="n">
        <v>1</v>
      </c>
      <c r="Y37" s="0" t="n">
        <v>1</v>
      </c>
      <c r="Z37" s="0" t="n">
        <v>4</v>
      </c>
      <c r="AA37" s="0" t="n">
        <v>2</v>
      </c>
      <c r="AB37" s="0" t="n">
        <v>2</v>
      </c>
      <c r="AC37" s="0">
        <f>Y37+Z37+AA37+AB37</f>
        <v/>
      </c>
      <c r="AD37" s="0" t="n">
        <v>4</v>
      </c>
      <c r="AE37" s="0" t="n">
        <v>3</v>
      </c>
      <c r="AF37" s="0" t="n">
        <v>2</v>
      </c>
      <c r="AG37" s="0" t="n">
        <v>1</v>
      </c>
      <c r="AH37" s="0">
        <f>AD37+AE37+AF37+AG37</f>
        <v/>
      </c>
      <c r="AI37" s="0">
        <f>Q37+R37+S37+T37</f>
        <v/>
      </c>
      <c r="AJ37" s="0" t="n">
        <v>3</v>
      </c>
      <c r="AL37" s="0">
        <f>AJ37+U37+V37+W37+X37</f>
        <v/>
      </c>
      <c r="AM37" s="0" t="n">
        <v>1.86</v>
      </c>
      <c r="AN37" s="0" t="n">
        <v>2.79</v>
      </c>
      <c r="AO37" s="0" t="n">
        <v>0</v>
      </c>
      <c r="AP37" s="0" t="n">
        <v>12</v>
      </c>
      <c r="AQ37" s="0">
        <f>ROUND((MIN(AM37,10)/10*8)+(MIN(AN37,10)/10*6)+(MIN(AO37,10)/10*4)+(MIN(AP37,10)/10*2),2)</f>
        <v/>
      </c>
      <c r="AS37" s="0">
        <f>L37+M37</f>
        <v/>
      </c>
      <c r="AT37" s="0" t="n">
        <v>4</v>
      </c>
      <c r="AU37" s="0" t="n">
        <v>2</v>
      </c>
      <c r="AV37" s="0" t="n">
        <v>3</v>
      </c>
      <c r="AW37" s="0">
        <f>MIN(10,AT37+AU37+AV37)</f>
        <v/>
      </c>
      <c r="AX37" s="0" t="n">
        <v>2</v>
      </c>
      <c r="AY37" s="0" t="n">
        <v>1.05</v>
      </c>
      <c r="AZ37" s="0" t="n">
        <v>0.775</v>
      </c>
      <c r="BA37" s="0" t="n">
        <v>0.5</v>
      </c>
      <c r="BB37" s="0">
        <f>ROUND((AX37/2*0.4+AY37/1.5*0.3+AZ37/1*0.2+BA37/0.5*0.1)*100,2)</f>
        <v/>
      </c>
      <c r="BC37" s="0">
        <f>ROUND(AC37+AH37+AI37+AL37+AQ37+AS37+AW37+(BB37/100*5),2)</f>
        <v/>
      </c>
      <c r="BD37" s="0">
        <f>IF(BC37&lt;=20,"极弱",IF(BC37&lt;=40,"偏弱",IF(BC37&lt;=60,"中等",IF(BC37&lt;=80,"较强","卓越"))))</f>
        <v/>
      </c>
      <c r="BH37" s="0" t="inlineStr">
        <is>
          <t>视频号/快手</t>
        </is>
      </c>
    </row>
    <row r="38">
      <c r="A38" s="0" t="n">
        <v>36</v>
      </c>
      <c r="B38" s="0" t="inlineStr">
        <is>
          <t>真少爷的逆袭，敌人越气我越强！</t>
        </is>
      </c>
      <c r="C38" s="0" t="inlineStr">
        <is>
          <t>/Users/mr.hu/Desktop/爆款排名/11.3日剧本/推荐/真少爷的逆袭，敌人越气我越强！.docx</t>
        </is>
      </c>
      <c r="E38" s="0" t="n">
        <v>22.65</v>
      </c>
      <c r="F38" s="0" t="n">
        <v>18</v>
      </c>
      <c r="G38" s="0">
        <f>IF(E38&lt;=8,"15–20集",IF(E38&lt;=20,"20–30集","30–40集"))</f>
        <v/>
      </c>
      <c r="H38" s="0" t="inlineStr">
        <is>
          <t>男频</t>
        </is>
      </c>
      <c r="I38" s="0" t="inlineStr">
        <is>
          <t>科幻/奇幻</t>
        </is>
      </c>
      <c r="J38" s="0" t="inlineStr">
        <is>
          <t>职场/商战</t>
        </is>
      </c>
      <c r="K38" s="0" t="inlineStr">
        <is>
          <t>写实都市</t>
        </is>
      </c>
      <c r="L38" s="0" t="n">
        <v>5</v>
      </c>
      <c r="M38" s="0" t="n">
        <v>7</v>
      </c>
      <c r="N38" s="0" t="inlineStr">
        <is>
          <t>男性/一二线/18–35</t>
        </is>
      </c>
      <c r="O38" s="0" t="inlineStr">
        <is>
          <t>周末黄金</t>
        </is>
      </c>
      <c r="P38" s="0" t="inlineStr">
        <is>
          <t>反转爽点</t>
        </is>
      </c>
      <c r="Q38" s="0" t="n">
        <v>3</v>
      </c>
      <c r="R38" s="0" t="n">
        <v>3</v>
      </c>
      <c r="S38" s="0" t="n">
        <v>3</v>
      </c>
      <c r="T38" s="0" t="n">
        <v>1</v>
      </c>
      <c r="U38" s="0" t="n">
        <v>1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4</v>
      </c>
      <c r="AA38" s="0" t="n">
        <v>2</v>
      </c>
      <c r="AB38" s="0" t="n">
        <v>2</v>
      </c>
      <c r="AC38" s="0">
        <f>Y38+Z38+AA38+AB38</f>
        <v/>
      </c>
      <c r="AD38" s="0" t="n">
        <v>3</v>
      </c>
      <c r="AE38" s="0" t="n">
        <v>5</v>
      </c>
      <c r="AF38" s="0" t="n">
        <v>2</v>
      </c>
      <c r="AG38" s="0" t="n">
        <v>1</v>
      </c>
      <c r="AH38" s="0">
        <f>AD38+AE38+AF38+AG38</f>
        <v/>
      </c>
      <c r="AI38" s="0">
        <f>Q38+R38+S38+T38</f>
        <v/>
      </c>
      <c r="AJ38" s="0" t="n">
        <v>2</v>
      </c>
      <c r="AL38" s="0">
        <f>AJ38+U38+V38+W38+X38</f>
        <v/>
      </c>
      <c r="AM38" s="0" t="n">
        <v>6.18</v>
      </c>
      <c r="AN38" s="0" t="n">
        <v>1.32</v>
      </c>
      <c r="AO38" s="0" t="n">
        <v>0</v>
      </c>
      <c r="AP38" s="0" t="n">
        <v>48</v>
      </c>
      <c r="AQ38" s="0">
        <f>ROUND((MIN(AM38,10)/10*8)+(MIN(AN38,10)/10*6)+(MIN(AO38,10)/10*4)+(MIN(AP38,10)/10*2),2)</f>
        <v/>
      </c>
      <c r="AS38" s="0">
        <f>L38+M38</f>
        <v/>
      </c>
      <c r="AT38" s="0" t="n">
        <v>3</v>
      </c>
      <c r="AU38" s="0" t="n">
        <v>2</v>
      </c>
      <c r="AV38" s="0" t="n">
        <v>2</v>
      </c>
      <c r="AW38" s="0">
        <f>MIN(10,AT38+AU38+AV38)</f>
        <v/>
      </c>
      <c r="AX38" s="0" t="n">
        <v>2</v>
      </c>
      <c r="AY38" s="0" t="n">
        <v>0.85</v>
      </c>
      <c r="AZ38" s="0" t="n">
        <v>0.775</v>
      </c>
      <c r="BA38" s="0" t="n">
        <v>0.5</v>
      </c>
      <c r="BB38" s="0">
        <f>ROUND((AX38/2*0.4+AY38/1.5*0.3+AZ38/1*0.2+BA38/0.5*0.1)*100,2)</f>
        <v/>
      </c>
      <c r="BC38" s="0">
        <f>ROUND(AC38+AH38+AI38+AL38+AQ38+AS38+AW38+(BB38/100*5),2)</f>
        <v/>
      </c>
      <c r="BD38" s="0">
        <f>IF(BC38&lt;=20,"极弱",IF(BC38&lt;=40,"偏弱",IF(BC38&lt;=60,"中等",IF(BC38&lt;=80,"较强","卓越"))))</f>
        <v/>
      </c>
      <c r="BH38" s="0" t="inlineStr">
        <is>
          <t>抖音/快手</t>
        </is>
      </c>
    </row>
    <row r="39">
      <c r="A39" s="0" t="n">
        <v>37</v>
      </c>
      <c r="B39" s="0" t="inlineStr">
        <is>
          <t>重生70，我一日一签到</t>
        </is>
      </c>
      <c r="C39" s="0" t="inlineStr">
        <is>
          <t>/Users/mr.hu/Desktop/爆款排名/11.3日剧本/推荐/重生70，我一日一签到.docx</t>
        </is>
      </c>
      <c r="E39" s="0" t="n">
        <v>24.27</v>
      </c>
      <c r="F39" s="0" t="n">
        <v>20</v>
      </c>
      <c r="G39" s="0">
        <f>IF(E39&lt;=8,"15–20集",IF(E39&lt;=20,"20–30集","30–40集"))</f>
        <v/>
      </c>
      <c r="H39" s="0" t="inlineStr">
        <is>
          <t>男频</t>
        </is>
      </c>
      <c r="I39" s="0" t="inlineStr">
        <is>
          <t>科幻/奇幻</t>
        </is>
      </c>
      <c r="J39" s="0" t="inlineStr">
        <is>
          <t>职场/商战</t>
        </is>
      </c>
      <c r="K39" s="0" t="inlineStr">
        <is>
          <t>写实都市</t>
        </is>
      </c>
      <c r="L39" s="0" t="n">
        <v>7</v>
      </c>
      <c r="M39" s="0" t="n">
        <v>7</v>
      </c>
      <c r="N39" s="0" t="inlineStr">
        <is>
          <t>男性/下沉/45+</t>
        </is>
      </c>
      <c r="O39" s="0" t="inlineStr">
        <is>
          <t>周末黄金</t>
        </is>
      </c>
      <c r="P39" s="0" t="inlineStr">
        <is>
          <t>反转爽点</t>
        </is>
      </c>
      <c r="Q39" s="0" t="n">
        <v>1</v>
      </c>
      <c r="R39" s="0" t="n">
        <v>3</v>
      </c>
      <c r="S39" s="0" t="n">
        <v>3</v>
      </c>
      <c r="T39" s="0" t="n">
        <v>1</v>
      </c>
      <c r="U39" s="0" t="n">
        <v>1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4</v>
      </c>
      <c r="AA39" s="0" t="n">
        <v>2</v>
      </c>
      <c r="AB39" s="0" t="n">
        <v>2</v>
      </c>
      <c r="AC39" s="0">
        <f>Y39+Z39+AA39+AB39</f>
        <v/>
      </c>
      <c r="AD39" s="0" t="n">
        <v>3</v>
      </c>
      <c r="AE39" s="0" t="n">
        <v>3</v>
      </c>
      <c r="AF39" s="0" t="n">
        <v>2</v>
      </c>
      <c r="AG39" s="0" t="n">
        <v>1</v>
      </c>
      <c r="AH39" s="0">
        <f>AD39+AE39+AF39+AG39</f>
        <v/>
      </c>
      <c r="AI39" s="0">
        <f>Q39+R39+S39+T39</f>
        <v/>
      </c>
      <c r="AJ39" s="0" t="n">
        <v>2</v>
      </c>
      <c r="AL39" s="0">
        <f>AJ39+U39+V39+W39+X39</f>
        <v/>
      </c>
      <c r="AM39" s="0" t="n">
        <v>0.82</v>
      </c>
      <c r="AN39" s="0" t="n">
        <v>3.71</v>
      </c>
      <c r="AO39" s="0" t="n">
        <v>0</v>
      </c>
      <c r="AP39" s="0" t="n">
        <v>0</v>
      </c>
      <c r="AQ39" s="0">
        <f>ROUND((MIN(AM39,10)/10*8)+(MIN(AN39,10)/10*6)+(MIN(AO39,10)/10*4)+(MIN(AP39,10)/10*2),2)</f>
        <v/>
      </c>
      <c r="AS39" s="0">
        <f>L39+M39</f>
        <v/>
      </c>
      <c r="AT39" s="0" t="n">
        <v>3</v>
      </c>
      <c r="AU39" s="0" t="n">
        <v>2</v>
      </c>
      <c r="AV39" s="0" t="n">
        <v>2</v>
      </c>
      <c r="AW39" s="0">
        <f>MIN(10,AT39+AU39+AV39)</f>
        <v/>
      </c>
      <c r="AX39" s="0" t="n">
        <v>2</v>
      </c>
      <c r="AY39" s="0" t="n">
        <v>1.5</v>
      </c>
      <c r="AZ39" s="0" t="n">
        <v>0.925</v>
      </c>
      <c r="BA39" s="0" t="n">
        <v>0.3</v>
      </c>
      <c r="BB39" s="0">
        <f>ROUND((AX39/2*0.4+AY39/1.5*0.3+AZ39/1*0.2+BA39/0.5*0.1)*100,2)</f>
        <v/>
      </c>
      <c r="BC39" s="0">
        <f>ROUND(AC39+AH39+AI39+AL39+AQ39+AS39+AW39+(BB39/100*5),2)</f>
        <v/>
      </c>
      <c r="BD39" s="0">
        <f>IF(BC39&lt;=20,"极弱",IF(BC39&lt;=40,"偏弱",IF(BC39&lt;=60,"中等",IF(BC39&lt;=80,"较强","卓越"))))</f>
        <v/>
      </c>
      <c r="BH39" s="0" t="inlineStr">
        <is>
          <t>视频号/快手</t>
        </is>
      </c>
    </row>
    <row r="40">
      <c r="A40" s="0" t="n">
        <v>38</v>
      </c>
      <c r="B40" s="0" t="inlineStr">
        <is>
          <t>顶级海王重生，全是碾压</t>
        </is>
      </c>
      <c r="C40" s="0" t="inlineStr">
        <is>
          <t>/Users/mr.hu/Desktop/爆款排名/11.3日剧本/推荐/顶级海王重生，全是碾压.docx</t>
        </is>
      </c>
      <c r="E40" s="0" t="n">
        <v>23.5</v>
      </c>
      <c r="F40" s="0" t="n">
        <v>19</v>
      </c>
      <c r="G40" s="0">
        <f>IF(E40&lt;=8,"15–20集",IF(E40&lt;=20,"20–30集","30–40集"))</f>
        <v/>
      </c>
      <c r="H40" s="0" t="inlineStr">
        <is>
          <t>男频</t>
        </is>
      </c>
      <c r="I40" s="0" t="inlineStr">
        <is>
          <t>古代</t>
        </is>
      </c>
      <c r="J40" s="0" t="inlineStr">
        <is>
          <t>职场/商战</t>
        </is>
      </c>
      <c r="K40" s="0" t="inlineStr">
        <is>
          <t>古装群像</t>
        </is>
      </c>
      <c r="L40" s="0" t="n">
        <v>4</v>
      </c>
      <c r="M40" s="0" t="n">
        <v>7</v>
      </c>
      <c r="N40" s="0" t="inlineStr">
        <is>
          <t>男性/一二线/45+</t>
        </is>
      </c>
      <c r="O40" s="0" t="inlineStr">
        <is>
          <t>周末黄金</t>
        </is>
      </c>
      <c r="P40" s="0" t="inlineStr">
        <is>
          <t>知识信息量</t>
        </is>
      </c>
      <c r="Q40" s="0" t="n">
        <v>3</v>
      </c>
      <c r="R40" s="0" t="n">
        <v>3</v>
      </c>
      <c r="S40" s="0" t="n">
        <v>2</v>
      </c>
      <c r="T40" s="0" t="n">
        <v>1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4</v>
      </c>
      <c r="AA40" s="0" t="n">
        <v>2</v>
      </c>
      <c r="AB40" s="0" t="n">
        <v>2</v>
      </c>
      <c r="AC40" s="0">
        <f>Y40+Z40+AA40+AB40</f>
        <v/>
      </c>
      <c r="AD40" s="0" t="n">
        <v>2</v>
      </c>
      <c r="AE40" s="0" t="n">
        <v>3</v>
      </c>
      <c r="AF40" s="0" t="n">
        <v>3</v>
      </c>
      <c r="AG40" s="0" t="n">
        <v>0</v>
      </c>
      <c r="AH40" s="0">
        <f>AD40+AE40+AF40+AG40</f>
        <v/>
      </c>
      <c r="AI40" s="0">
        <f>Q40+R40+S40+T40</f>
        <v/>
      </c>
      <c r="AJ40" s="0" t="n">
        <v>3</v>
      </c>
      <c r="AL40" s="0">
        <f>AJ40+U40+V40+W40+X40</f>
        <v/>
      </c>
      <c r="AM40" s="0" t="n">
        <v>0</v>
      </c>
      <c r="AN40" s="0" t="n">
        <v>2.55</v>
      </c>
      <c r="AO40" s="0" t="n">
        <v>0</v>
      </c>
      <c r="AP40" s="0" t="n">
        <v>0</v>
      </c>
      <c r="AQ40" s="0">
        <f>ROUND((MIN(AM40,10)/10*8)+(MIN(AN40,10)/10*6)+(MIN(AO40,10)/10*4)+(MIN(AP40,10)/10*2),2)</f>
        <v/>
      </c>
      <c r="AS40" s="0">
        <f>L40+M40</f>
        <v/>
      </c>
      <c r="AT40" s="0" t="n">
        <v>3</v>
      </c>
      <c r="AU40" s="0" t="n">
        <v>2</v>
      </c>
      <c r="AV40" s="0" t="n">
        <v>2</v>
      </c>
      <c r="AW40" s="0">
        <f>MIN(10,AT40+AU40+AV40)</f>
        <v/>
      </c>
      <c r="AX40" s="0" t="n">
        <v>2</v>
      </c>
      <c r="AY40" s="0" t="n">
        <v>0.9</v>
      </c>
      <c r="AZ40" s="0" t="n">
        <v>0.7</v>
      </c>
      <c r="BA40" s="0" t="n">
        <v>0.5</v>
      </c>
      <c r="BB40" s="0">
        <f>ROUND((AX40/2*0.4+AY40/1.5*0.3+AZ40/1*0.2+BA40/0.5*0.1)*100,2)</f>
        <v/>
      </c>
      <c r="BC40" s="0">
        <f>ROUND(AC40+AH40+AI40+AL40+AQ40+AS40+AW40+(BB40/100*5),2)</f>
        <v/>
      </c>
      <c r="BD40" s="0">
        <f>IF(BC40&lt;=20,"极弱",IF(BC40&lt;=40,"偏弱",IF(BC40&lt;=60,"中等",IF(BC40&lt;=80,"较强","卓越"))))</f>
        <v/>
      </c>
      <c r="BH40" s="0" t="inlineStr">
        <is>
          <t>抖音/快手</t>
        </is>
      </c>
    </row>
    <row r="41">
      <c r="A41" s="0" t="n">
        <v>39</v>
      </c>
      <c r="B41" s="0" t="inlineStr">
        <is>
          <t>下山要债，竟要到个老婆</t>
        </is>
      </c>
      <c r="C41" s="0" t="inlineStr">
        <is>
          <t>/Users/mr.hu/Desktop/爆款排名/11.3日剧本/新建文件夹/下山要债，竟要到个老婆.docx</t>
        </is>
      </c>
      <c r="E41" s="0" t="n">
        <v>23.62</v>
      </c>
      <c r="F41" s="0" t="n">
        <v>19</v>
      </c>
      <c r="G41" s="0">
        <f>IF(E41&lt;=8,"15–20集",IF(E41&lt;=20,"20–30集","30–40集"))</f>
        <v/>
      </c>
      <c r="H41" s="0" t="inlineStr">
        <is>
          <t>男频</t>
        </is>
      </c>
      <c r="I41" s="0" t="inlineStr">
        <is>
          <t>科幻/奇幻</t>
        </is>
      </c>
      <c r="J41" s="0" t="inlineStr">
        <is>
          <t>职场/商战</t>
        </is>
      </c>
      <c r="K41" s="0" t="inlineStr">
        <is>
          <t>写实都市</t>
        </is>
      </c>
      <c r="L41" s="0" t="n">
        <v>5</v>
      </c>
      <c r="M41" s="0" t="n">
        <v>4</v>
      </c>
      <c r="N41" s="0" t="inlineStr">
        <is>
          <t>男性/下沉/18–35</t>
        </is>
      </c>
      <c r="O41" s="0" t="inlineStr">
        <is>
          <t>周末黄金</t>
        </is>
      </c>
      <c r="P41" s="0" t="inlineStr">
        <is>
          <t>反转爽点</t>
        </is>
      </c>
      <c r="Q41" s="0" t="n">
        <v>3</v>
      </c>
      <c r="R41" s="0" t="n">
        <v>2</v>
      </c>
      <c r="S41" s="0" t="n">
        <v>2</v>
      </c>
      <c r="T41" s="0" t="n">
        <v>1</v>
      </c>
      <c r="U41" s="0" t="n">
        <v>1</v>
      </c>
      <c r="V41" s="0" t="n">
        <v>2</v>
      </c>
      <c r="W41" s="0" t="n">
        <v>1</v>
      </c>
      <c r="X41" s="0" t="n">
        <v>1</v>
      </c>
      <c r="Y41" s="0" t="n">
        <v>6</v>
      </c>
      <c r="Z41" s="0" t="n">
        <v>4</v>
      </c>
      <c r="AA41" s="0" t="n">
        <v>2</v>
      </c>
      <c r="AB41" s="0" t="n">
        <v>1</v>
      </c>
      <c r="AC41" s="0">
        <f>Y41+Z41+AA41+AB41</f>
        <v/>
      </c>
      <c r="AD41" s="0" t="n">
        <v>5</v>
      </c>
      <c r="AE41" s="0" t="n">
        <v>4</v>
      </c>
      <c r="AF41" s="0" t="n">
        <v>2</v>
      </c>
      <c r="AG41" s="0" t="n">
        <v>1</v>
      </c>
      <c r="AH41" s="0">
        <f>AD41+AE41+AF41+AG41</f>
        <v/>
      </c>
      <c r="AI41" s="0">
        <f>Q41+R41+S41+T41</f>
        <v/>
      </c>
      <c r="AJ41" s="0" t="n">
        <v>3</v>
      </c>
      <c r="AL41" s="0">
        <f>AJ41+U41+V41+W41+X41</f>
        <v/>
      </c>
      <c r="AM41" s="0" t="n">
        <v>4.23</v>
      </c>
      <c r="AN41" s="0" t="n">
        <v>3.81</v>
      </c>
      <c r="AO41" s="0" t="n">
        <v>0</v>
      </c>
      <c r="AP41" s="0" t="n">
        <v>0</v>
      </c>
      <c r="AQ41" s="0">
        <f>ROUND((MIN(AM41,10)/10*8)+(MIN(AN41,10)/10*6)+(MIN(AO41,10)/10*4)+(MIN(AP41,10)/10*2),2)</f>
        <v/>
      </c>
      <c r="AS41" s="0">
        <f>L41+M41</f>
        <v/>
      </c>
      <c r="AT41" s="0" t="n">
        <v>3</v>
      </c>
      <c r="AU41" s="0" t="n">
        <v>2</v>
      </c>
      <c r="AV41" s="0" t="n">
        <v>2</v>
      </c>
      <c r="AW41" s="0">
        <f>MIN(10,AT41+AU41+AV41)</f>
        <v/>
      </c>
      <c r="AX41" s="0" t="n">
        <v>2</v>
      </c>
      <c r="AY41" s="0" t="n">
        <v>0.65</v>
      </c>
      <c r="AZ41" s="0" t="n">
        <v>0.603571428571429</v>
      </c>
      <c r="BA41" s="0" t="n">
        <v>0.5</v>
      </c>
      <c r="BB41" s="0">
        <f>ROUND((AX41/2*0.4+AY41/1.5*0.3+AZ41/1*0.2+BA41/0.5*0.1)*100,2)</f>
        <v/>
      </c>
      <c r="BC41" s="0">
        <f>ROUND(AC41+AH41+AI41+AL41+AQ41+AS41+AW41+(BB41/100*5),2)</f>
        <v/>
      </c>
      <c r="BD41" s="0">
        <f>IF(BC41&lt;=20,"极弱",IF(BC41&lt;=40,"偏弱",IF(BC41&lt;=60,"中等",IF(BC41&lt;=80,"较强","卓越"))))</f>
        <v/>
      </c>
      <c r="BH41" s="0" t="inlineStr">
        <is>
          <t>视频号/快手</t>
        </is>
      </c>
    </row>
    <row r="42">
      <c r="A42" s="0" t="n">
        <v>40</v>
      </c>
      <c r="B42" s="0" t="inlineStr">
        <is>
          <t>决不妥协，黑暗处我是光</t>
        </is>
      </c>
      <c r="C42" s="0" t="inlineStr">
        <is>
          <t>/Users/mr.hu/Desktop/爆款排名/11.3日剧本/新建文件夹/决不妥协，黑暗处我是光.docx</t>
        </is>
      </c>
      <c r="E42" s="0" t="n">
        <v>26.19</v>
      </c>
      <c r="F42" s="0" t="n">
        <v>21</v>
      </c>
      <c r="G42" s="0">
        <f>IF(E42&lt;=8,"15–20集",IF(E42&lt;=20,"20–30集","30–40集"))</f>
        <v/>
      </c>
      <c r="H42" s="0" t="inlineStr">
        <is>
          <t>男频</t>
        </is>
      </c>
      <c r="I42" s="0" t="inlineStr">
        <is>
          <t>古代</t>
        </is>
      </c>
      <c r="J42" s="0" t="inlineStr">
        <is>
          <t>职场/商战</t>
        </is>
      </c>
      <c r="K42" s="0" t="inlineStr">
        <is>
          <t>古装群像</t>
        </is>
      </c>
      <c r="L42" s="0" t="n">
        <v>6</v>
      </c>
      <c r="M42" s="0" t="n">
        <v>7</v>
      </c>
      <c r="N42" s="0" t="inlineStr">
        <is>
          <t>男性/下沉/18–35</t>
        </is>
      </c>
      <c r="O42" s="0" t="inlineStr">
        <is>
          <t>周末黄金</t>
        </is>
      </c>
      <c r="P42" s="0" t="inlineStr">
        <is>
          <t>知识信息量</t>
        </is>
      </c>
      <c r="Q42" s="0" t="n">
        <v>3</v>
      </c>
      <c r="R42" s="0" t="n">
        <v>3</v>
      </c>
      <c r="S42" s="0" t="n">
        <v>3</v>
      </c>
      <c r="T42" s="0" t="n">
        <v>1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4</v>
      </c>
      <c r="AA42" s="0" t="n">
        <v>2</v>
      </c>
      <c r="AB42" s="0" t="n">
        <v>1</v>
      </c>
      <c r="AC42" s="0">
        <f>Y42+Z42+AA42+AB42</f>
        <v/>
      </c>
      <c r="AD42" s="0" t="n">
        <v>2</v>
      </c>
      <c r="AE42" s="0" t="n">
        <v>2</v>
      </c>
      <c r="AF42" s="0" t="n">
        <v>2</v>
      </c>
      <c r="AG42" s="0" t="n">
        <v>1</v>
      </c>
      <c r="AH42" s="0">
        <f>AD42+AE42+AF42+AG42</f>
        <v/>
      </c>
      <c r="AI42" s="0">
        <f>Q42+R42+S42+T42</f>
        <v/>
      </c>
      <c r="AJ42" s="0" t="n">
        <v>3</v>
      </c>
      <c r="AL42" s="0">
        <f>AJ42+U42+V42+W42+X42</f>
        <v/>
      </c>
      <c r="AM42" s="0" t="n">
        <v>0</v>
      </c>
      <c r="AN42" s="0" t="n">
        <v>0</v>
      </c>
      <c r="AO42" s="0" t="n">
        <v>0</v>
      </c>
      <c r="AP42" s="0" t="n">
        <v>24</v>
      </c>
      <c r="AQ42" s="0">
        <f>ROUND((MIN(AM42,10)/10*8)+(MIN(AN42,10)/10*6)+(MIN(AO42,10)/10*4)+(MIN(AP42,10)/10*2),2)</f>
        <v/>
      </c>
      <c r="AS42" s="0">
        <f>L42+M42</f>
        <v/>
      </c>
      <c r="AT42" s="0" t="n">
        <v>2</v>
      </c>
      <c r="AU42" s="0" t="n">
        <v>2</v>
      </c>
      <c r="AV42" s="0" t="n">
        <v>2</v>
      </c>
      <c r="AW42" s="0">
        <f>MIN(10,AT42+AU42+AV42)</f>
        <v/>
      </c>
      <c r="AX42" s="0" t="n">
        <v>2</v>
      </c>
      <c r="AY42" s="0" t="n">
        <v>1.5</v>
      </c>
      <c r="AZ42" s="0" t="n">
        <v>0.85</v>
      </c>
      <c r="BA42" s="0" t="n">
        <v>0.5</v>
      </c>
      <c r="BB42" s="0">
        <f>ROUND((AX42/2*0.4+AY42/1.5*0.3+AZ42/1*0.2+BA42/0.5*0.1)*100,2)</f>
        <v/>
      </c>
      <c r="BC42" s="0">
        <f>ROUND(AC42+AH42+AI42+AL42+AQ42+AS42+AW42+(BB42/100*5),2)</f>
        <v/>
      </c>
      <c r="BD42" s="0">
        <f>IF(BC42&lt;=20,"极弱",IF(BC42&lt;=40,"偏弱",IF(BC42&lt;=60,"中等",IF(BC42&lt;=80,"较强","卓越"))))</f>
        <v/>
      </c>
      <c r="BH42" s="0" t="inlineStr">
        <is>
          <t>视频号/快手</t>
        </is>
      </c>
    </row>
    <row r="43">
      <c r="A43" s="0" t="n">
        <v>41</v>
      </c>
      <c r="B43" s="0" t="inlineStr">
        <is>
          <t>别惹我，我能无限续命</t>
        </is>
      </c>
      <c r="C43" s="0" t="inlineStr">
        <is>
          <t>/Users/mr.hu/Desktop/爆款排名/11.3日剧本/新建文件夹/别惹我，我能无限续命.docx</t>
        </is>
      </c>
      <c r="E43" s="0" t="n">
        <v>25.02</v>
      </c>
      <c r="F43" s="0" t="n">
        <v>20</v>
      </c>
      <c r="G43" s="0">
        <f>IF(E43&lt;=8,"15–20集",IF(E43&lt;=20,"20–30集","30–40集"))</f>
        <v/>
      </c>
      <c r="H43" s="0" t="inlineStr">
        <is>
          <t>男频</t>
        </is>
      </c>
      <c r="I43" s="0" t="inlineStr">
        <is>
          <t>科幻/奇幻</t>
        </is>
      </c>
      <c r="J43" s="0" t="inlineStr">
        <is>
          <t>家庭/婚恋</t>
        </is>
      </c>
      <c r="K43" s="0" t="inlineStr">
        <is>
          <t>商业爽剧</t>
        </is>
      </c>
      <c r="L43" s="0" t="n">
        <v>4</v>
      </c>
      <c r="M43" s="0" t="n">
        <v>7</v>
      </c>
      <c r="N43" s="0" t="inlineStr">
        <is>
          <t>男性/一二线/45+</t>
        </is>
      </c>
      <c r="O43" s="0" t="inlineStr">
        <is>
          <t>周末黄金</t>
        </is>
      </c>
      <c r="P43" s="0" t="inlineStr">
        <is>
          <t>反转爽点</t>
        </is>
      </c>
      <c r="Q43" s="0" t="n">
        <v>3</v>
      </c>
      <c r="R43" s="0" t="n">
        <v>3</v>
      </c>
      <c r="S43" s="0" t="n">
        <v>3</v>
      </c>
      <c r="T43" s="0" t="n">
        <v>1</v>
      </c>
      <c r="U43" s="0" t="n">
        <v>2</v>
      </c>
      <c r="V43" s="0" t="n">
        <v>2</v>
      </c>
      <c r="W43" s="0" t="n">
        <v>1</v>
      </c>
      <c r="X43" s="0" t="n">
        <v>1</v>
      </c>
      <c r="Y43" s="0" t="n">
        <v>1</v>
      </c>
      <c r="Z43" s="0" t="n">
        <v>4</v>
      </c>
      <c r="AA43" s="0" t="n">
        <v>2</v>
      </c>
      <c r="AB43" s="0" t="n">
        <v>2</v>
      </c>
      <c r="AC43" s="0">
        <f>Y43+Z43+AA43+AB43</f>
        <v/>
      </c>
      <c r="AD43" s="0" t="n">
        <v>4</v>
      </c>
      <c r="AE43" s="0" t="n">
        <v>4</v>
      </c>
      <c r="AF43" s="0" t="n">
        <v>2</v>
      </c>
      <c r="AG43" s="0" t="n">
        <v>1</v>
      </c>
      <c r="AH43" s="0">
        <f>AD43+AE43+AF43+AG43</f>
        <v/>
      </c>
      <c r="AI43" s="0">
        <f>Q43+R43+S43+T43</f>
        <v/>
      </c>
      <c r="AJ43" s="0" t="n">
        <v>3</v>
      </c>
      <c r="AL43" s="0">
        <f>AJ43+U43+V43+W43+X43</f>
        <v/>
      </c>
      <c r="AM43" s="0" t="n">
        <v>0.8</v>
      </c>
      <c r="AN43" s="0" t="n">
        <v>4.8</v>
      </c>
      <c r="AO43" s="0" t="n">
        <v>25</v>
      </c>
      <c r="AP43" s="0" t="n">
        <v>0</v>
      </c>
      <c r="AQ43" s="0">
        <f>ROUND((MIN(AM43,10)/10*8)+(MIN(AN43,10)/10*6)+(MIN(AO43,10)/10*4)+(MIN(AP43,10)/10*2),2)</f>
        <v/>
      </c>
      <c r="AS43" s="0">
        <f>L43+M43</f>
        <v/>
      </c>
      <c r="AT43" s="0" t="n">
        <v>3</v>
      </c>
      <c r="AU43" s="0" t="n">
        <v>2</v>
      </c>
      <c r="AV43" s="0" t="n">
        <v>2</v>
      </c>
      <c r="AW43" s="0">
        <f>MIN(10,AT43+AU43+AV43)</f>
        <v/>
      </c>
      <c r="AX43" s="0" t="n">
        <v>2</v>
      </c>
      <c r="AY43" s="0" t="n">
        <v>1.5</v>
      </c>
      <c r="AZ43" s="0" t="n">
        <v>0.7</v>
      </c>
      <c r="BA43" s="0" t="n">
        <v>0.5</v>
      </c>
      <c r="BB43" s="0">
        <f>ROUND((AX43/2*0.4+AY43/1.5*0.3+AZ43/1*0.2+BA43/0.5*0.1)*100,2)</f>
        <v/>
      </c>
      <c r="BC43" s="0">
        <f>ROUND(AC43+AH43+AI43+AL43+AQ43+AS43+AW43+(BB43/100*5),2)</f>
        <v/>
      </c>
      <c r="BD43" s="0">
        <f>IF(BC43&lt;=20,"极弱",IF(BC43&lt;=40,"偏弱",IF(BC43&lt;=60,"中等",IF(BC43&lt;=80,"较强","卓越"))))</f>
        <v/>
      </c>
      <c r="BH43" s="0" t="inlineStr">
        <is>
          <t>抖音/快手</t>
        </is>
      </c>
    </row>
    <row r="44">
      <c r="A44" s="0" t="n">
        <v>42</v>
      </c>
      <c r="B44" s="0" t="inlineStr">
        <is>
          <t>和离后，我把圣女们撩惨了！</t>
        </is>
      </c>
      <c r="C44" s="0" t="inlineStr">
        <is>
          <t>/Users/mr.hu/Desktop/爆款排名/11.3日剧本/新建文件夹/和离后，我把圣女们撩惨了！.docx</t>
        </is>
      </c>
      <c r="E44" s="0" t="n">
        <v>34.45</v>
      </c>
      <c r="F44" s="0" t="n">
        <v>28</v>
      </c>
      <c r="G44" s="0">
        <f>IF(E44&lt;=8,"15–20集",IF(E44&lt;=20,"20–30集","30–40集"))</f>
        <v/>
      </c>
      <c r="H44" s="0" t="inlineStr">
        <is>
          <t>男频</t>
        </is>
      </c>
      <c r="I44" s="0" t="inlineStr">
        <is>
          <t>古代</t>
        </is>
      </c>
      <c r="J44" s="0" t="inlineStr">
        <is>
          <t>都市/系统神豪</t>
        </is>
      </c>
      <c r="K44" s="0" t="inlineStr">
        <is>
          <t>武侠动作</t>
        </is>
      </c>
      <c r="L44" s="0" t="n">
        <v>5</v>
      </c>
      <c r="M44" s="0" t="n">
        <v>7</v>
      </c>
      <c r="N44" s="0" t="inlineStr">
        <is>
          <t>男性/一二线/18–35</t>
        </is>
      </c>
      <c r="O44" s="0" t="inlineStr">
        <is>
          <t>周末黄金</t>
        </is>
      </c>
      <c r="P44" s="0" t="inlineStr">
        <is>
          <t>反转爽点</t>
        </is>
      </c>
      <c r="Q44" s="0" t="n">
        <v>3</v>
      </c>
      <c r="R44" s="0" t="n">
        <v>3</v>
      </c>
      <c r="S44" s="0" t="n">
        <v>1</v>
      </c>
      <c r="T44" s="0" t="n">
        <v>1</v>
      </c>
      <c r="U44" s="0" t="n">
        <v>1</v>
      </c>
      <c r="V44" s="0" t="n">
        <v>2</v>
      </c>
      <c r="W44" s="0" t="n">
        <v>0</v>
      </c>
      <c r="X44" s="0" t="n">
        <v>1</v>
      </c>
      <c r="Y44" s="0" t="n">
        <v>1</v>
      </c>
      <c r="Z44" s="0" t="n">
        <v>4</v>
      </c>
      <c r="AA44" s="0" t="n">
        <v>2</v>
      </c>
      <c r="AB44" s="0" t="n">
        <v>2</v>
      </c>
      <c r="AC44" s="0">
        <f>Y44+Z44+AA44+AB44</f>
        <v/>
      </c>
      <c r="AD44" s="0" t="n">
        <v>4</v>
      </c>
      <c r="AE44" s="0" t="n">
        <v>5</v>
      </c>
      <c r="AF44" s="0" t="n">
        <v>2</v>
      </c>
      <c r="AG44" s="0" t="n">
        <v>1</v>
      </c>
      <c r="AH44" s="0">
        <f>AD44+AE44+AF44+AG44</f>
        <v/>
      </c>
      <c r="AI44" s="0">
        <f>Q44+R44+S44+T44</f>
        <v/>
      </c>
      <c r="AJ44" s="0" t="n">
        <v>3</v>
      </c>
      <c r="AL44" s="0">
        <f>AJ44+U44+V44+W44+X44</f>
        <v/>
      </c>
      <c r="AM44" s="0" t="n">
        <v>4.64</v>
      </c>
      <c r="AN44" s="0" t="n">
        <v>3.48</v>
      </c>
      <c r="AO44" s="0" t="n">
        <v>0</v>
      </c>
      <c r="AP44" s="0" t="n">
        <v>0</v>
      </c>
      <c r="AQ44" s="0">
        <f>ROUND((MIN(AM44,10)/10*8)+(MIN(AN44,10)/10*6)+(MIN(AO44,10)/10*4)+(MIN(AP44,10)/10*2),2)</f>
        <v/>
      </c>
      <c r="AS44" s="0">
        <f>L44+M44</f>
        <v/>
      </c>
      <c r="AT44" s="0" t="n">
        <v>3</v>
      </c>
      <c r="AU44" s="0" t="n">
        <v>2</v>
      </c>
      <c r="AV44" s="0" t="n">
        <v>3</v>
      </c>
      <c r="AW44" s="0">
        <f>MIN(10,AT44+AU44+AV44)</f>
        <v/>
      </c>
      <c r="AX44" s="0" t="n">
        <v>2</v>
      </c>
      <c r="AY44" s="0" t="n">
        <v>1.3</v>
      </c>
      <c r="AZ44" s="0" t="n">
        <v>0.775</v>
      </c>
      <c r="BA44" s="0" t="n">
        <v>0.5</v>
      </c>
      <c r="BB44" s="0">
        <f>ROUND((AX44/2*0.4+AY44/1.5*0.3+AZ44/1*0.2+BA44/0.5*0.1)*100,2)</f>
        <v/>
      </c>
      <c r="BC44" s="0">
        <f>ROUND(AC44+AH44+AI44+AL44+AQ44+AS44+AW44+(BB44/100*5),2)</f>
        <v/>
      </c>
      <c r="BD44" s="0">
        <f>IF(BC44&lt;=20,"极弱",IF(BC44&lt;=40,"偏弱",IF(BC44&lt;=60,"中等",IF(BC44&lt;=80,"较强","卓越"))))</f>
        <v/>
      </c>
      <c r="BH44" s="0" t="inlineStr">
        <is>
          <t>抖音/快手</t>
        </is>
      </c>
    </row>
    <row r="45">
      <c r="A45" s="0" t="n">
        <v>43</v>
      </c>
      <c r="B45" s="0" t="inlineStr">
        <is>
          <t>外卖小哥拯救王朝</t>
        </is>
      </c>
      <c r="C45" s="0" t="inlineStr">
        <is>
          <t>/Users/mr.hu/Desktop/爆款排名/11.3日剧本/新建文件夹/外卖小哥拯救王朝.docx</t>
        </is>
      </c>
      <c r="E45" s="0" t="n">
        <v>33.91</v>
      </c>
      <c r="F45" s="0" t="n">
        <v>28</v>
      </c>
      <c r="G45" s="0">
        <f>IF(E45&lt;=8,"15–20集",IF(E45&lt;=20,"20–30集","30–40集"))</f>
        <v/>
      </c>
      <c r="H45" s="0" t="inlineStr">
        <is>
          <t>男频</t>
        </is>
      </c>
      <c r="I45" s="0" t="inlineStr">
        <is>
          <t>现代</t>
        </is>
      </c>
      <c r="J45" s="0" t="inlineStr">
        <is>
          <t>职场/商战</t>
        </is>
      </c>
      <c r="K45" s="0" t="inlineStr">
        <is>
          <t>写实都市</t>
        </is>
      </c>
      <c r="L45" s="0" t="n">
        <v>6</v>
      </c>
      <c r="M45" s="0" t="n">
        <v>7</v>
      </c>
      <c r="N45" s="0" t="inlineStr">
        <is>
          <t>男性/下沉/18–35</t>
        </is>
      </c>
      <c r="O45" s="0" t="inlineStr">
        <is>
          <t>周末黄金</t>
        </is>
      </c>
      <c r="P45" s="0" t="inlineStr">
        <is>
          <t>成长救赎</t>
        </is>
      </c>
      <c r="Q45" s="0" t="n">
        <v>3</v>
      </c>
      <c r="R45" s="0" t="n">
        <v>3</v>
      </c>
      <c r="S45" s="0" t="n">
        <v>1</v>
      </c>
      <c r="T45" s="0" t="n">
        <v>1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3</v>
      </c>
      <c r="Z45" s="0" t="n">
        <v>4</v>
      </c>
      <c r="AA45" s="0" t="n">
        <v>2</v>
      </c>
      <c r="AB45" s="0" t="n">
        <v>2</v>
      </c>
      <c r="AC45" s="0">
        <f>Y45+Z45+AA45+AB45</f>
        <v/>
      </c>
      <c r="AD45" s="0" t="n">
        <v>5</v>
      </c>
      <c r="AE45" s="0" t="n">
        <v>6</v>
      </c>
      <c r="AF45" s="0" t="n">
        <v>3</v>
      </c>
      <c r="AG45" s="0" t="n">
        <v>1</v>
      </c>
      <c r="AH45" s="0">
        <f>AD45+AE45+AF45+AG45</f>
        <v/>
      </c>
      <c r="AI45" s="0">
        <f>Q45+R45+S45+T45</f>
        <v/>
      </c>
      <c r="AJ45" s="0" t="n">
        <v>2</v>
      </c>
      <c r="AL45" s="0">
        <f>AJ45+U45+V45+W45+X45</f>
        <v/>
      </c>
      <c r="AM45" s="0" t="n">
        <v>2.95</v>
      </c>
      <c r="AN45" s="0" t="n">
        <v>8.85</v>
      </c>
      <c r="AO45" s="0" t="n">
        <v>25</v>
      </c>
      <c r="AP45" s="0" t="n">
        <v>72</v>
      </c>
      <c r="AQ45" s="0">
        <f>ROUND((MIN(AM45,10)/10*8)+(MIN(AN45,10)/10*6)+(MIN(AO45,10)/10*4)+(MIN(AP45,10)/10*2),2)</f>
        <v/>
      </c>
      <c r="AS45" s="0">
        <f>L45+M45</f>
        <v/>
      </c>
      <c r="AT45" s="0" t="n">
        <v>3</v>
      </c>
      <c r="AU45" s="0" t="n">
        <v>2</v>
      </c>
      <c r="AV45" s="0" t="n">
        <v>3</v>
      </c>
      <c r="AW45" s="0">
        <f>MIN(10,AT45+AU45+AV45)</f>
        <v/>
      </c>
      <c r="AX45" s="0" t="n">
        <v>2</v>
      </c>
      <c r="AY45" s="0" t="n">
        <v>1.5</v>
      </c>
      <c r="AZ45" s="0" t="n">
        <v>0.85</v>
      </c>
      <c r="BA45" s="0" t="n">
        <v>0.5</v>
      </c>
      <c r="BB45" s="0">
        <f>ROUND((AX45/2*0.4+AY45/1.5*0.3+AZ45/1*0.2+BA45/0.5*0.1)*100,2)</f>
        <v/>
      </c>
      <c r="BC45" s="0">
        <f>ROUND(AC45+AH45+AI45+AL45+AQ45+AS45+AW45+(BB45/100*5),2)</f>
        <v/>
      </c>
      <c r="BD45" s="0">
        <f>IF(BC45&lt;=20,"极弱",IF(BC45&lt;=40,"偏弱",IF(BC45&lt;=60,"中等",IF(BC45&lt;=80,"较强","卓越"))))</f>
        <v/>
      </c>
      <c r="BH45" s="0" t="inlineStr">
        <is>
          <t>视频号/快手</t>
        </is>
      </c>
    </row>
    <row r="46">
      <c r="A46" s="0" t="n">
        <v>44</v>
      </c>
      <c r="B46" s="0" t="inlineStr">
        <is>
          <t>大反派被听心声，女主人设全崩了</t>
        </is>
      </c>
      <c r="C46" s="0" t="inlineStr">
        <is>
          <t>/Users/mr.hu/Desktop/爆款排名/11.3日剧本/新建文件夹/大反派被听心声，女主人设全崩了.docx</t>
        </is>
      </c>
      <c r="E46" s="0" t="n">
        <v>26.08</v>
      </c>
      <c r="F46" s="0" t="n">
        <v>21</v>
      </c>
      <c r="G46" s="0">
        <f>IF(E46&lt;=8,"15–20集",IF(E46&lt;=20,"20–30集","30–40集"))</f>
        <v/>
      </c>
      <c r="H46" s="0" t="inlineStr">
        <is>
          <t>男频</t>
        </is>
      </c>
      <c r="I46" s="0" t="inlineStr">
        <is>
          <t>科幻/奇幻</t>
        </is>
      </c>
      <c r="J46" s="0" t="inlineStr">
        <is>
          <t>职场/商战</t>
        </is>
      </c>
      <c r="K46" s="0" t="inlineStr">
        <is>
          <t>写实都市</t>
        </is>
      </c>
      <c r="L46" s="0" t="n">
        <v>5</v>
      </c>
      <c r="M46" s="0" t="n">
        <v>4</v>
      </c>
      <c r="N46" s="0" t="inlineStr">
        <is>
          <t>男性/一二线/45+</t>
        </is>
      </c>
      <c r="O46" s="0" t="inlineStr">
        <is>
          <t>节假日前后</t>
        </is>
      </c>
      <c r="P46" s="0" t="inlineStr">
        <is>
          <t>反转爽点</t>
        </is>
      </c>
      <c r="Q46" s="0" t="n">
        <v>3</v>
      </c>
      <c r="R46" s="0" t="n">
        <v>3</v>
      </c>
      <c r="S46" s="0" t="n">
        <v>2</v>
      </c>
      <c r="T46" s="0" t="n">
        <v>1</v>
      </c>
      <c r="U46" s="0" t="n">
        <v>1</v>
      </c>
      <c r="V46" s="0" t="n">
        <v>2</v>
      </c>
      <c r="W46" s="0" t="n">
        <v>1</v>
      </c>
      <c r="X46" s="0" t="n">
        <v>1</v>
      </c>
      <c r="Y46" s="0" t="n">
        <v>6</v>
      </c>
      <c r="Z46" s="0" t="n">
        <v>4</v>
      </c>
      <c r="AA46" s="0" t="n">
        <v>2</v>
      </c>
      <c r="AB46" s="0" t="n">
        <v>2</v>
      </c>
      <c r="AC46" s="0">
        <f>Y46+Z46+AA46+AB46</f>
        <v/>
      </c>
      <c r="AD46" s="0" t="n">
        <v>4</v>
      </c>
      <c r="AE46" s="0" t="n">
        <v>4</v>
      </c>
      <c r="AF46" s="0" t="n">
        <v>2</v>
      </c>
      <c r="AG46" s="0" t="n">
        <v>1</v>
      </c>
      <c r="AH46" s="0">
        <f>AD46+AE46+AF46+AG46</f>
        <v/>
      </c>
      <c r="AI46" s="0">
        <f>Q46+R46+S46+T46</f>
        <v/>
      </c>
      <c r="AJ46" s="0" t="n">
        <v>3</v>
      </c>
      <c r="AL46" s="0">
        <f>AJ46+U46+V46+W46+X46</f>
        <v/>
      </c>
      <c r="AM46" s="0" t="n">
        <v>6.13</v>
      </c>
      <c r="AN46" s="0" t="n">
        <v>0</v>
      </c>
      <c r="AO46" s="0" t="n">
        <v>0</v>
      </c>
      <c r="AP46" s="0" t="n">
        <v>72</v>
      </c>
      <c r="AQ46" s="0">
        <f>ROUND((MIN(AM46,10)/10*8)+(MIN(AN46,10)/10*6)+(MIN(AO46,10)/10*4)+(MIN(AP46,10)/10*2),2)</f>
        <v/>
      </c>
      <c r="AS46" s="0">
        <f>L46+M46</f>
        <v/>
      </c>
      <c r="AT46" s="0" t="n">
        <v>3</v>
      </c>
      <c r="AU46" s="0" t="n">
        <v>2</v>
      </c>
      <c r="AV46" s="0" t="n">
        <v>2</v>
      </c>
      <c r="AW46" s="0">
        <f>MIN(10,AT46+AU46+AV46)</f>
        <v/>
      </c>
      <c r="AX46" s="0" t="n">
        <v>2</v>
      </c>
      <c r="AY46" s="0" t="n">
        <v>1.5</v>
      </c>
      <c r="AZ46" s="0" t="n">
        <v>0.603571428571429</v>
      </c>
      <c r="BA46" s="0" t="n">
        <v>0.5</v>
      </c>
      <c r="BB46" s="0">
        <f>ROUND((AX46/2*0.4+AY46/1.5*0.3+AZ46/1*0.2+BA46/0.5*0.1)*100,2)</f>
        <v/>
      </c>
      <c r="BC46" s="0">
        <f>ROUND(AC46+AH46+AI46+AL46+AQ46+AS46+AW46+(BB46/100*5),2)</f>
        <v/>
      </c>
      <c r="BD46" s="0">
        <f>IF(BC46&lt;=20,"极弱",IF(BC46&lt;=40,"偏弱",IF(BC46&lt;=60,"中等",IF(BC46&lt;=80,"较强","卓越"))))</f>
        <v/>
      </c>
      <c r="BH46" s="0" t="inlineStr">
        <is>
          <t>抖音/快手</t>
        </is>
      </c>
    </row>
    <row r="47">
      <c r="A47" s="0" t="n">
        <v>45</v>
      </c>
      <c r="B47" s="0" t="inlineStr">
        <is>
          <t>家花五六朵，胜却野花香</t>
        </is>
      </c>
      <c r="C47" s="0" t="inlineStr">
        <is>
          <t>/Users/mr.hu/Desktop/爆款排名/11.3日剧本/新建文件夹/家花五六朵，胜却野花香.docx</t>
        </is>
      </c>
      <c r="E47" s="0" t="n">
        <v>23.09</v>
      </c>
      <c r="F47" s="0" t="n">
        <v>19</v>
      </c>
      <c r="G47" s="0">
        <f>IF(E47&lt;=8,"15–20集",IF(E47&lt;=20,"20–30集","30–40集"))</f>
        <v/>
      </c>
      <c r="H47" s="0" t="inlineStr">
        <is>
          <t>男频</t>
        </is>
      </c>
      <c r="I47" s="0" t="inlineStr">
        <is>
          <t>科幻/奇幻</t>
        </is>
      </c>
      <c r="J47" s="0" t="inlineStr">
        <is>
          <t>职场/商战</t>
        </is>
      </c>
      <c r="K47" s="0" t="inlineStr">
        <is>
          <t>写实都市</t>
        </is>
      </c>
      <c r="L47" s="0" t="n">
        <v>7</v>
      </c>
      <c r="M47" s="0" t="n">
        <v>5</v>
      </c>
      <c r="N47" s="0" t="inlineStr">
        <is>
          <t>男性/下沉/45+</t>
        </is>
      </c>
      <c r="O47" s="0" t="inlineStr">
        <is>
          <t>周末黄金</t>
        </is>
      </c>
      <c r="P47" s="0" t="inlineStr">
        <is>
          <t>反转爽点</t>
        </is>
      </c>
      <c r="Q47" s="0" t="n">
        <v>3</v>
      </c>
      <c r="R47" s="0" t="n">
        <v>3</v>
      </c>
      <c r="S47" s="0" t="n">
        <v>3</v>
      </c>
      <c r="T47" s="0" t="n">
        <v>1</v>
      </c>
      <c r="U47" s="0" t="n">
        <v>2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4</v>
      </c>
      <c r="AA47" s="0" t="n">
        <v>2</v>
      </c>
      <c r="AB47" s="0" t="n">
        <v>2</v>
      </c>
      <c r="AC47" s="0">
        <f>Y47+Z47+AA47+AB47</f>
        <v/>
      </c>
      <c r="AD47" s="0" t="n">
        <v>4</v>
      </c>
      <c r="AE47" s="0" t="n">
        <v>5</v>
      </c>
      <c r="AF47" s="0" t="n">
        <v>2</v>
      </c>
      <c r="AG47" s="0" t="n">
        <v>1</v>
      </c>
      <c r="AH47" s="0">
        <f>AD47+AE47+AF47+AG47</f>
        <v/>
      </c>
      <c r="AI47" s="0">
        <f>Q47+R47+S47+T47</f>
        <v/>
      </c>
      <c r="AJ47" s="0" t="n">
        <v>2</v>
      </c>
      <c r="AL47" s="0">
        <f>AJ47+U47+V47+W47+X47</f>
        <v/>
      </c>
      <c r="AM47" s="0" t="n">
        <v>3.47</v>
      </c>
      <c r="AN47" s="0" t="n">
        <v>6.5</v>
      </c>
      <c r="AO47" s="0" t="n">
        <v>25</v>
      </c>
      <c r="AP47" s="0" t="n">
        <v>84</v>
      </c>
      <c r="AQ47" s="0">
        <f>ROUND((MIN(AM47,10)/10*8)+(MIN(AN47,10)/10*6)+(MIN(AO47,10)/10*4)+(MIN(AP47,10)/10*2),2)</f>
        <v/>
      </c>
      <c r="AS47" s="0">
        <f>L47+M47</f>
        <v/>
      </c>
      <c r="AT47" s="0" t="n">
        <v>3</v>
      </c>
      <c r="AU47" s="0" t="n">
        <v>2</v>
      </c>
      <c r="AV47" s="0" t="n">
        <v>3</v>
      </c>
      <c r="AW47" s="0">
        <f>MIN(10,AT47+AU47+AV47)</f>
        <v/>
      </c>
      <c r="AX47" s="0" t="n">
        <v>2</v>
      </c>
      <c r="AY47" s="0" t="n">
        <v>1.5</v>
      </c>
      <c r="AZ47" s="0" t="n">
        <v>0.8107142857142861</v>
      </c>
      <c r="BA47" s="0" t="n">
        <v>0</v>
      </c>
      <c r="BB47" s="0">
        <f>ROUND((AX47/2*0.4+AY47/1.5*0.3+AZ47/1*0.2+BA47/0.5*0.1)*100,2)</f>
        <v/>
      </c>
      <c r="BC47" s="0">
        <f>ROUND(AC47+AH47+AI47+AL47+AQ47+AS47+AW47+(BB47/100*5),2)</f>
        <v/>
      </c>
      <c r="BD47" s="0">
        <f>IF(BC47&lt;=20,"极弱",IF(BC47&lt;=40,"偏弱",IF(BC47&lt;=60,"中等",IF(BC47&lt;=80,"较强","卓越"))))</f>
        <v/>
      </c>
      <c r="BH47" s="0" t="inlineStr">
        <is>
          <t>视频号/快手</t>
        </is>
      </c>
    </row>
    <row r="48">
      <c r="A48" s="0" t="n">
        <v>46</v>
      </c>
      <c r="B48" s="0" t="inlineStr">
        <is>
          <t>我死遁后，她开启疯狂追夫模式</t>
        </is>
      </c>
      <c r="C48" s="0" t="inlineStr">
        <is>
          <t>/Users/mr.hu/Desktop/爆款排名/11.3日剧本/新建文件夹/我死遁后，她开启疯狂追夫模式.docx</t>
        </is>
      </c>
      <c r="E48" s="0" t="n">
        <v>23.91</v>
      </c>
      <c r="F48" s="0" t="n">
        <v>19</v>
      </c>
      <c r="G48" s="0">
        <f>IF(E48&lt;=8,"15–20集",IF(E48&lt;=20,"20–30集","30–40集"))</f>
        <v/>
      </c>
      <c r="H48" s="0" t="inlineStr">
        <is>
          <t>男频</t>
        </is>
      </c>
      <c r="I48" s="0" t="inlineStr">
        <is>
          <t>科幻/奇幻</t>
        </is>
      </c>
      <c r="J48" s="0" t="inlineStr">
        <is>
          <t>职场/商战</t>
        </is>
      </c>
      <c r="K48" s="0" t="inlineStr">
        <is>
          <t>写实都市</t>
        </is>
      </c>
      <c r="L48" s="0" t="n">
        <v>6</v>
      </c>
      <c r="M48" s="0" t="n">
        <v>5</v>
      </c>
      <c r="N48" s="0" t="inlineStr">
        <is>
          <t>男性/下沉/18–35</t>
        </is>
      </c>
      <c r="O48" s="0" t="inlineStr">
        <is>
          <t>周末黄金</t>
        </is>
      </c>
      <c r="P48" s="0" t="inlineStr">
        <is>
          <t>成长救赎</t>
        </is>
      </c>
      <c r="Q48" s="0" t="n">
        <v>3</v>
      </c>
      <c r="R48" s="0" t="n">
        <v>3</v>
      </c>
      <c r="S48" s="0" t="n">
        <v>3</v>
      </c>
      <c r="T48" s="0" t="n">
        <v>1</v>
      </c>
      <c r="U48" s="0" t="n">
        <v>1</v>
      </c>
      <c r="V48" s="0" t="n">
        <v>2</v>
      </c>
      <c r="W48" s="0" t="n">
        <v>0</v>
      </c>
      <c r="X48" s="0" t="n">
        <v>1</v>
      </c>
      <c r="Y48" s="0" t="n">
        <v>4</v>
      </c>
      <c r="Z48" s="0" t="n">
        <v>4</v>
      </c>
      <c r="AA48" s="0" t="n">
        <v>2</v>
      </c>
      <c r="AB48" s="0" t="n">
        <v>2</v>
      </c>
      <c r="AC48" s="0">
        <f>Y48+Z48+AA48+AB48</f>
        <v/>
      </c>
      <c r="AD48" s="0" t="n">
        <v>5</v>
      </c>
      <c r="AE48" s="0" t="n">
        <v>6</v>
      </c>
      <c r="AF48" s="0" t="n">
        <v>1</v>
      </c>
      <c r="AG48" s="0" t="n">
        <v>1</v>
      </c>
      <c r="AH48" s="0">
        <f>AD48+AE48+AF48+AG48</f>
        <v/>
      </c>
      <c r="AI48" s="0">
        <f>Q48+R48+S48+T48</f>
        <v/>
      </c>
      <c r="AJ48" s="0" t="n">
        <v>3</v>
      </c>
      <c r="AL48" s="0">
        <f>AJ48+U48+V48+W48+X48</f>
        <v/>
      </c>
      <c r="AM48" s="0" t="n">
        <v>15.06</v>
      </c>
      <c r="AN48" s="0" t="n">
        <v>31.37</v>
      </c>
      <c r="AO48" s="0" t="n">
        <v>0</v>
      </c>
      <c r="AP48" s="0" t="n">
        <v>12</v>
      </c>
      <c r="AS48" s="0">
        <f>L48+M48</f>
        <v/>
      </c>
      <c r="AT48" s="0" t="n">
        <v>3</v>
      </c>
      <c r="AU48" s="0" t="n">
        <v>2</v>
      </c>
      <c r="AV48" s="0" t="n">
        <v>3</v>
      </c>
      <c r="AW48" s="0">
        <f>MIN(10,AT48+AU48+AV48)</f>
        <v/>
      </c>
      <c r="AX48" s="0" t="n">
        <v>2</v>
      </c>
      <c r="AY48" s="0" t="n">
        <v>0.85</v>
      </c>
      <c r="AZ48" s="0" t="n">
        <v>0.735714285714286</v>
      </c>
      <c r="BA48" s="0" t="n">
        <v>0.5</v>
      </c>
      <c r="BB48" s="0">
        <f>ROUND((AX48/2*0.4+AY48/1.5*0.3+AZ48/1*0.2+BA48/0.5*0.1)*100,2)</f>
        <v/>
      </c>
      <c r="BC48" s="0">
        <f>ROUND(AC48+AH48+AI48+AL48+AQ48+AS48+AW48+(BB48/100*5),2)</f>
        <v/>
      </c>
      <c r="BD48" s="0">
        <f>IF(BC48&lt;=20,"极弱",IF(BC48&lt;=40,"偏弱",IF(BC48&lt;=60,"中等",IF(BC48&lt;=80,"较强","卓越"))))</f>
        <v/>
      </c>
      <c r="BH48" s="0" t="inlineStr">
        <is>
          <t>视频号/快手</t>
        </is>
      </c>
    </row>
    <row r="49">
      <c r="A49" s="0" t="n">
        <v>47</v>
      </c>
      <c r="B49" s="0" t="inlineStr">
        <is>
          <t>摆烂作死不成，反成千古一帝</t>
        </is>
      </c>
      <c r="C49" s="0" t="inlineStr">
        <is>
          <t>/Users/mr.hu/Desktop/爆款排名/11.3日剧本/新建文件夹/摆烂作死不成，反成千古一帝.docx</t>
        </is>
      </c>
      <c r="E49" s="0" t="n">
        <v>27.66</v>
      </c>
      <c r="F49" s="0" t="n">
        <v>23</v>
      </c>
      <c r="G49" s="0">
        <f>IF(E49&lt;=8,"15–20集",IF(E49&lt;=20,"20–30集","30–40集"))</f>
        <v/>
      </c>
      <c r="H49" s="0" t="inlineStr">
        <is>
          <t>男频</t>
        </is>
      </c>
      <c r="I49" s="0" t="inlineStr">
        <is>
          <t>科幻/奇幻</t>
        </is>
      </c>
      <c r="J49" s="0" t="inlineStr">
        <is>
          <t>玄幻修仙</t>
        </is>
      </c>
      <c r="K49" s="0" t="inlineStr">
        <is>
          <t>武侠动作</t>
        </is>
      </c>
      <c r="L49" s="0" t="n">
        <v>4</v>
      </c>
      <c r="M49" s="0" t="n">
        <v>7</v>
      </c>
      <c r="N49" s="0" t="inlineStr">
        <is>
          <t>男性/下沉/45+</t>
        </is>
      </c>
      <c r="O49" s="0" t="inlineStr">
        <is>
          <t>周末黄金</t>
        </is>
      </c>
      <c r="P49" s="0" t="inlineStr">
        <is>
          <t>反转爽点</t>
        </is>
      </c>
      <c r="Q49" s="0" t="n">
        <v>3</v>
      </c>
      <c r="R49" s="0" t="n">
        <v>3</v>
      </c>
      <c r="S49" s="0" t="n">
        <v>1</v>
      </c>
      <c r="T49" s="0" t="n">
        <v>1</v>
      </c>
      <c r="U49" s="0" t="n">
        <v>1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4</v>
      </c>
      <c r="AA49" s="0" t="n">
        <v>2</v>
      </c>
      <c r="AB49" s="0" t="n">
        <v>2</v>
      </c>
      <c r="AC49" s="0">
        <f>Y49+Z49+AA49+AB49</f>
        <v/>
      </c>
      <c r="AD49" s="0" t="n">
        <v>4</v>
      </c>
      <c r="AE49" s="0" t="n">
        <v>5</v>
      </c>
      <c r="AF49" s="0" t="n">
        <v>2</v>
      </c>
      <c r="AG49" s="0" t="n">
        <v>0</v>
      </c>
      <c r="AH49" s="0">
        <f>AD49+AE49+AF49+AG49</f>
        <v/>
      </c>
      <c r="AI49" s="0">
        <f>Q49+R49+S49+T49</f>
        <v/>
      </c>
      <c r="AJ49" s="0" t="n">
        <v>3</v>
      </c>
      <c r="AL49" s="0">
        <f>AJ49+U49+V49+W49+X49</f>
        <v/>
      </c>
      <c r="AM49" s="0" t="n">
        <v>2.17</v>
      </c>
      <c r="AN49" s="0" t="n">
        <v>7.59</v>
      </c>
      <c r="AO49" s="0" t="n">
        <v>0</v>
      </c>
      <c r="AP49" s="0" t="n">
        <v>12</v>
      </c>
      <c r="AS49" s="0">
        <f>L49+M49</f>
        <v/>
      </c>
      <c r="AT49" s="0" t="n">
        <v>3</v>
      </c>
      <c r="AU49" s="0" t="n">
        <v>2</v>
      </c>
      <c r="AV49" s="0" t="n">
        <v>2</v>
      </c>
      <c r="AW49" s="0">
        <f>MIN(10,AT49+AU49+AV49)</f>
        <v/>
      </c>
      <c r="AX49" s="0" t="n">
        <v>2</v>
      </c>
      <c r="AY49" s="0" t="n">
        <v>0.7</v>
      </c>
      <c r="AZ49" s="0" t="n">
        <v>0.7</v>
      </c>
      <c r="BA49" s="0" t="n">
        <v>0.5</v>
      </c>
      <c r="BB49" s="0">
        <f>ROUND((AX49/2*0.4+AY49/1.5*0.3+AZ49/1*0.2+BA49/0.5*0.1)*100,2)</f>
        <v/>
      </c>
      <c r="BC49" s="0">
        <f>ROUND(AC49+AH49+AI49+AL49+AQ49+AS49+AW49+(BB49/100*5),2)</f>
        <v/>
      </c>
      <c r="BD49" s="0">
        <f>IF(BC49&lt;=20,"极弱",IF(BC49&lt;=40,"偏弱",IF(BC49&lt;=60,"中等",IF(BC49&lt;=80,"较强","卓越"))))</f>
        <v/>
      </c>
      <c r="BH49" s="0" t="inlineStr">
        <is>
          <t>视频号/快手</t>
        </is>
      </c>
    </row>
    <row r="50">
      <c r="A50" s="0" t="n">
        <v>48</v>
      </c>
      <c r="B50" s="0" t="inlineStr">
        <is>
          <t>朝堂奸臣，三个女帝为我争风吃醋</t>
        </is>
      </c>
      <c r="C50" s="0" t="inlineStr">
        <is>
          <t>/Users/mr.hu/Desktop/爆款排名/11.3日剧本/新建文件夹/朝堂奸臣，三个女帝为我争风吃醋.docx</t>
        </is>
      </c>
      <c r="E50" s="0" t="n">
        <v>32.3</v>
      </c>
      <c r="F50" s="0" t="n">
        <v>26</v>
      </c>
      <c r="G50" s="0">
        <f>IF(E50&lt;=8,"15–20集",IF(E50&lt;=20,"20–30集","30–40集"))</f>
        <v/>
      </c>
      <c r="H50" s="0" t="inlineStr">
        <is>
          <t>男频</t>
        </is>
      </c>
      <c r="I50" s="0" t="inlineStr">
        <is>
          <t>科幻/奇幻</t>
        </is>
      </c>
      <c r="J50" s="0" t="inlineStr">
        <is>
          <t>玄幻修仙</t>
        </is>
      </c>
      <c r="K50" s="0" t="inlineStr">
        <is>
          <t>武侠动作</t>
        </is>
      </c>
      <c r="L50" s="0" t="n">
        <v>4</v>
      </c>
      <c r="M50" s="0" t="n">
        <v>4</v>
      </c>
      <c r="N50" s="0" t="inlineStr">
        <is>
          <t>男性/一二线/18–35</t>
        </is>
      </c>
      <c r="O50" s="0" t="inlineStr">
        <is>
          <t>周末黄金</t>
        </is>
      </c>
      <c r="P50" s="0" t="inlineStr">
        <is>
          <t>反转爽点</t>
        </is>
      </c>
      <c r="Q50" s="0" t="n">
        <v>3</v>
      </c>
      <c r="R50" s="0" t="n">
        <v>3</v>
      </c>
      <c r="S50" s="0" t="n">
        <v>2</v>
      </c>
      <c r="T50" s="0" t="n">
        <v>1</v>
      </c>
      <c r="U50" s="0" t="n">
        <v>1</v>
      </c>
      <c r="V50" s="0" t="n">
        <v>2</v>
      </c>
      <c r="W50" s="0" t="n">
        <v>0</v>
      </c>
      <c r="X50" s="0" t="n">
        <v>1</v>
      </c>
      <c r="Y50" s="0" t="n">
        <v>2</v>
      </c>
      <c r="Z50" s="0" t="n">
        <v>4</v>
      </c>
      <c r="AA50" s="0" t="n">
        <v>2</v>
      </c>
      <c r="AB50" s="0" t="n">
        <v>1</v>
      </c>
      <c r="AC50" s="0">
        <f>Y50+Z50+AA50+AB50</f>
        <v/>
      </c>
      <c r="AD50" s="0" t="n">
        <v>5</v>
      </c>
      <c r="AE50" s="0" t="n">
        <v>6</v>
      </c>
      <c r="AF50" s="0" t="n">
        <v>2</v>
      </c>
      <c r="AG50" s="0" t="n">
        <v>1</v>
      </c>
      <c r="AH50" s="0">
        <f>AD50+AE50+AF50+AG50</f>
        <v/>
      </c>
      <c r="AI50" s="0">
        <f>Q50+R50+S50+T50</f>
        <v/>
      </c>
      <c r="AJ50" s="0" t="n">
        <v>2</v>
      </c>
      <c r="AL50" s="0">
        <f>AJ50+U50+V50+W50+X50</f>
        <v/>
      </c>
      <c r="AM50" s="0" t="n">
        <v>1.86</v>
      </c>
      <c r="AN50" s="0" t="n">
        <v>18.57</v>
      </c>
      <c r="AO50" s="0" t="n">
        <v>0</v>
      </c>
      <c r="AP50" s="0" t="n">
        <v>0</v>
      </c>
      <c r="AS50" s="0">
        <f>L50+M50</f>
        <v/>
      </c>
      <c r="AT50" s="0" t="n">
        <v>3</v>
      </c>
      <c r="AU50" s="0" t="n">
        <v>2</v>
      </c>
      <c r="AV50" s="0" t="n">
        <v>2</v>
      </c>
      <c r="AW50" s="0">
        <f>MIN(10,AT50+AU50+AV50)</f>
        <v/>
      </c>
      <c r="AX50" s="0" t="n">
        <v>2</v>
      </c>
      <c r="AY50" s="0" t="n">
        <v>1.5</v>
      </c>
      <c r="AZ50" s="0" t="n">
        <v>0.528571428571429</v>
      </c>
      <c r="BA50" s="0" t="n">
        <v>0.5</v>
      </c>
      <c r="BB50" s="0">
        <f>ROUND((AX50/2*0.4+AY50/1.5*0.3+AZ50/1*0.2+BA50/0.5*0.1)*100,2)</f>
        <v/>
      </c>
      <c r="BC50" s="0">
        <f>ROUND(AC50+AH50+AI50+AL50+AQ50+AS50+AW50+(BB50/100*5),2)</f>
        <v/>
      </c>
      <c r="BD50" s="0">
        <f>IF(BC50&lt;=20,"极弱",IF(BC50&lt;=40,"偏弱",IF(BC50&lt;=60,"中等",IF(BC50&lt;=80,"较强","卓越"))))</f>
        <v/>
      </c>
      <c r="BH50" s="0" t="inlineStr">
        <is>
          <t>抖音/快手</t>
        </is>
      </c>
    </row>
    <row r="51">
      <c r="A51" s="0" t="n">
        <v>49</v>
      </c>
      <c r="B51" s="0" t="inlineStr">
        <is>
          <t>离婚后，我觉醒透视金瞳</t>
        </is>
      </c>
      <c r="C51" s="0" t="inlineStr">
        <is>
          <t>/Users/mr.hu/Desktop/爆款排名/11.3日剧本/新建文件夹/离婚后，我觉醒透视金瞳.docx</t>
        </is>
      </c>
      <c r="E51" s="0" t="n">
        <v>22.81</v>
      </c>
      <c r="F51" s="0" t="n">
        <v>19</v>
      </c>
      <c r="G51" s="0">
        <f>IF(E51&lt;=8,"15–20集",IF(E51&lt;=20,"20–30集","30–40集"))</f>
        <v/>
      </c>
      <c r="H51" s="0" t="inlineStr">
        <is>
          <t>男频</t>
        </is>
      </c>
      <c r="I51" s="0" t="inlineStr">
        <is>
          <t>科幻/奇幻</t>
        </is>
      </c>
      <c r="J51" s="0" t="inlineStr">
        <is>
          <t>职场/商战</t>
        </is>
      </c>
      <c r="K51" s="0" t="inlineStr">
        <is>
          <t>写实都市</t>
        </is>
      </c>
      <c r="L51" s="0" t="n">
        <v>6</v>
      </c>
      <c r="M51" s="0" t="n">
        <v>5</v>
      </c>
      <c r="N51" s="0" t="inlineStr">
        <is>
          <t>男性/一二线/45+</t>
        </is>
      </c>
      <c r="O51" s="0" t="inlineStr">
        <is>
          <t>周末黄金</t>
        </is>
      </c>
      <c r="P51" s="0" t="inlineStr">
        <is>
          <t>反转爽点</t>
        </is>
      </c>
      <c r="Q51" s="0" t="n">
        <v>3</v>
      </c>
      <c r="R51" s="0" t="n">
        <v>3</v>
      </c>
      <c r="S51" s="0" t="n">
        <v>3</v>
      </c>
      <c r="T51" s="0" t="n">
        <v>1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1</v>
      </c>
      <c r="Z51" s="0" t="n">
        <v>4</v>
      </c>
      <c r="AA51" s="0" t="n">
        <v>2</v>
      </c>
      <c r="AB51" s="0" t="n">
        <v>2</v>
      </c>
      <c r="AC51" s="0">
        <f>Y51+Z51+AA51+AB51</f>
        <v/>
      </c>
      <c r="AD51" s="0" t="n">
        <v>1</v>
      </c>
      <c r="AE51" s="0" t="n">
        <v>4</v>
      </c>
      <c r="AF51" s="0" t="n">
        <v>3</v>
      </c>
      <c r="AG51" s="0" t="n">
        <v>1</v>
      </c>
      <c r="AH51" s="0">
        <f>AD51+AE51+AF51+AG51</f>
        <v/>
      </c>
      <c r="AI51" s="0">
        <f>Q51+R51+S51+T51</f>
        <v/>
      </c>
      <c r="AJ51" s="0" t="n">
        <v>3</v>
      </c>
      <c r="AL51" s="0">
        <f>AJ51+U51+V51+W51+X51</f>
        <v/>
      </c>
      <c r="AM51" s="0" t="n">
        <v>1.75</v>
      </c>
      <c r="AN51" s="0" t="n">
        <v>5.26</v>
      </c>
      <c r="AO51" s="0" t="n">
        <v>0</v>
      </c>
      <c r="AP51" s="0" t="n">
        <v>24</v>
      </c>
      <c r="AS51" s="0">
        <f>L51+M51</f>
        <v/>
      </c>
      <c r="AT51" s="0" t="n">
        <v>3</v>
      </c>
      <c r="AU51" s="0" t="n">
        <v>2</v>
      </c>
      <c r="AV51" s="0" t="n">
        <v>3</v>
      </c>
      <c r="AW51" s="0">
        <f>MIN(10,AT51+AU51+AV51)</f>
        <v/>
      </c>
      <c r="AX51" s="0" t="n">
        <v>2</v>
      </c>
      <c r="AY51" s="0" t="n">
        <v>0.9</v>
      </c>
      <c r="AZ51" s="0" t="n">
        <v>0.735714285714286</v>
      </c>
      <c r="BA51" s="0" t="n">
        <v>0.5</v>
      </c>
      <c r="BB51" s="0">
        <f>ROUND((AX51/2*0.4+AY51/1.5*0.3+AZ51/1*0.2+BA51/0.5*0.1)*100,2)</f>
        <v/>
      </c>
      <c r="BC51" s="0">
        <f>ROUND(AC51+AH51+AI51+AL51+AQ51+AS51+AW51+(BB51/100*5),2)</f>
        <v/>
      </c>
      <c r="BD51" s="0">
        <f>IF(BC51&lt;=20,"极弱",IF(BC51&lt;=40,"偏弱",IF(BC51&lt;=60,"中等",IF(BC51&lt;=80,"较强","卓越"))))</f>
        <v/>
      </c>
      <c r="BH51" s="0" t="inlineStr">
        <is>
          <t>抖音/快手</t>
        </is>
      </c>
    </row>
    <row r="52">
      <c r="A52" s="0" t="n">
        <v>50</v>
      </c>
      <c r="B52" s="0" t="inlineStr">
        <is>
          <t>科举：笑我庶子无能？我连中六元</t>
        </is>
      </c>
      <c r="C52" s="0" t="inlineStr">
        <is>
          <t>/Users/mr.hu/Desktop/爆款排名/11.3日剧本/新建文件夹/科举：笑我庶子无能？我连中六元.docx</t>
        </is>
      </c>
      <c r="E52" s="0" t="n">
        <v>20.16</v>
      </c>
      <c r="F52" s="0" t="n">
        <v>16</v>
      </c>
      <c r="G52" s="0">
        <f>IF(E52&lt;=8,"15–20集",IF(E52&lt;=20,"20–30集","30–40集"))</f>
        <v/>
      </c>
      <c r="H52" s="0" t="inlineStr">
        <is>
          <t>男频</t>
        </is>
      </c>
      <c r="I52" s="0" t="inlineStr">
        <is>
          <t>古代</t>
        </is>
      </c>
      <c r="J52" s="0" t="inlineStr">
        <is>
          <t>古代权谋/科举</t>
        </is>
      </c>
      <c r="K52" s="0" t="inlineStr">
        <is>
          <t>武侠动作</t>
        </is>
      </c>
      <c r="L52" s="0" t="n">
        <v>8</v>
      </c>
      <c r="M52" s="0" t="n">
        <v>5</v>
      </c>
      <c r="N52" s="0" t="inlineStr">
        <is>
          <t>男性/一二线/45+</t>
        </is>
      </c>
      <c r="O52" s="0" t="inlineStr">
        <is>
          <t>节假日前后</t>
        </is>
      </c>
      <c r="P52" s="0" t="inlineStr">
        <is>
          <t>反转爽点</t>
        </is>
      </c>
      <c r="Q52" s="0" t="n">
        <v>3</v>
      </c>
      <c r="R52" s="0" t="n">
        <v>3</v>
      </c>
      <c r="S52" s="0" t="n">
        <v>1</v>
      </c>
      <c r="T52" s="0" t="n">
        <v>1</v>
      </c>
      <c r="U52" s="0" t="n">
        <v>2</v>
      </c>
      <c r="V52" s="0" t="n">
        <v>0</v>
      </c>
      <c r="W52" s="0" t="n">
        <v>1</v>
      </c>
      <c r="X52" s="0" t="n">
        <v>1</v>
      </c>
      <c r="Y52" s="0" t="n">
        <v>0</v>
      </c>
      <c r="Z52" s="0" t="n">
        <v>4</v>
      </c>
      <c r="AA52" s="0" t="n">
        <v>2</v>
      </c>
      <c r="AB52" s="0" t="n">
        <v>2</v>
      </c>
      <c r="AC52" s="0">
        <f>Y52+Z52+AA52+AB52</f>
        <v/>
      </c>
      <c r="AD52" s="0" t="n">
        <v>2</v>
      </c>
      <c r="AE52" s="0" t="n">
        <v>3</v>
      </c>
      <c r="AF52" s="0" t="n">
        <v>2</v>
      </c>
      <c r="AG52" s="0" t="n">
        <v>1</v>
      </c>
      <c r="AH52" s="0">
        <f>AD52+AE52+AF52+AG52</f>
        <v/>
      </c>
      <c r="AI52" s="0">
        <f>Q52+R52+S52+T52</f>
        <v/>
      </c>
      <c r="AJ52" s="0" t="n">
        <v>3</v>
      </c>
      <c r="AL52" s="0">
        <f>AJ52+U52+V52+W52+X52</f>
        <v/>
      </c>
      <c r="AM52" s="0" t="n">
        <v>0</v>
      </c>
      <c r="AN52" s="0" t="n">
        <v>2.98</v>
      </c>
      <c r="AO52" s="0" t="n">
        <v>0</v>
      </c>
      <c r="AP52" s="0" t="n">
        <v>0</v>
      </c>
      <c r="AS52" s="0">
        <f>L52+M52</f>
        <v/>
      </c>
      <c r="AT52" s="0" t="n">
        <v>3</v>
      </c>
      <c r="AU52" s="0" t="n">
        <v>2</v>
      </c>
      <c r="AV52" s="0" t="n">
        <v>2</v>
      </c>
      <c r="AW52" s="0">
        <f>MIN(10,AT52+AU52+AV52)</f>
        <v/>
      </c>
      <c r="AX52" s="0" t="n">
        <v>2</v>
      </c>
      <c r="AY52" s="0" t="n">
        <v>0.5</v>
      </c>
      <c r="AZ52" s="0" t="n">
        <v>0.885714285714286</v>
      </c>
      <c r="BA52" s="0" t="n">
        <v>0.5</v>
      </c>
      <c r="BB52" s="0">
        <f>ROUND((AX52/2*0.4+AY52/1.5*0.3+AZ52/1*0.2+BA52/0.5*0.1)*100,2)</f>
        <v/>
      </c>
      <c r="BC52" s="0">
        <f>ROUND(AC52+AH52+AI52+AL52+AQ52+AS52+AW52+(BB52/100*5),2)</f>
        <v/>
      </c>
      <c r="BD52" s="0">
        <f>IF(BC52&lt;=20,"极弱",IF(BC52&lt;=40,"偏弱",IF(BC52&lt;=60,"中等",IF(BC52&lt;=80,"较强","卓越"))))</f>
        <v/>
      </c>
      <c r="BH52" s="0" t="inlineStr">
        <is>
          <t>抖音/快手</t>
        </is>
      </c>
    </row>
    <row r="53">
      <c r="A53" s="0" t="n">
        <v>51</v>
      </c>
      <c r="B53" s="0" t="inlineStr">
        <is>
          <t>穿越者聊天群？我还没穿呢！</t>
        </is>
      </c>
      <c r="C53" s="0" t="inlineStr">
        <is>
          <t>/Users/mr.hu/Desktop/爆款排名/11.3日剧本/新建文件夹/穿越者聊天群？我还没穿呢！.docx</t>
        </is>
      </c>
      <c r="E53" s="0" t="n">
        <v>24.31</v>
      </c>
      <c r="F53" s="0" t="n">
        <v>20</v>
      </c>
      <c r="G53" s="0">
        <f>IF(E53&lt;=8,"15–20集",IF(E53&lt;=20,"20–30集","30–40集"))</f>
        <v/>
      </c>
      <c r="H53" s="0" t="inlineStr">
        <is>
          <t>男频</t>
        </is>
      </c>
      <c r="I53" s="0" t="inlineStr">
        <is>
          <t>古代</t>
        </is>
      </c>
      <c r="J53" s="0" t="inlineStr">
        <is>
          <t>玄幻修仙</t>
        </is>
      </c>
      <c r="K53" s="0" t="inlineStr">
        <is>
          <t>武侠动作</t>
        </is>
      </c>
      <c r="L53" s="0" t="n">
        <v>4</v>
      </c>
      <c r="M53" s="0" t="n">
        <v>5</v>
      </c>
      <c r="N53" s="0" t="inlineStr">
        <is>
          <t>男性/一二线/45+</t>
        </is>
      </c>
      <c r="O53" s="0" t="inlineStr">
        <is>
          <t>周末黄金</t>
        </is>
      </c>
      <c r="P53" s="0" t="inlineStr">
        <is>
          <t>反转爽点</t>
        </is>
      </c>
      <c r="Q53" s="0" t="n">
        <v>3</v>
      </c>
      <c r="R53" s="0" t="n">
        <v>3</v>
      </c>
      <c r="S53" s="0" t="n">
        <v>2</v>
      </c>
      <c r="T53" s="0" t="n">
        <v>1</v>
      </c>
      <c r="U53" s="0" t="n">
        <v>3</v>
      </c>
      <c r="V53" s="0" t="n">
        <v>2</v>
      </c>
      <c r="W53" s="0" t="n">
        <v>1</v>
      </c>
      <c r="X53" s="0" t="n">
        <v>1</v>
      </c>
      <c r="Y53" s="0" t="n">
        <v>1</v>
      </c>
      <c r="Z53" s="0" t="n">
        <v>4</v>
      </c>
      <c r="AA53" s="0" t="n">
        <v>2</v>
      </c>
      <c r="AB53" s="0" t="n">
        <v>2</v>
      </c>
      <c r="AC53" s="0">
        <f>Y53+Z53+AA53+AB53</f>
        <v/>
      </c>
      <c r="AD53" s="0" t="n">
        <v>4</v>
      </c>
      <c r="AE53" s="0" t="n">
        <v>5</v>
      </c>
      <c r="AF53" s="0" t="n">
        <v>3</v>
      </c>
      <c r="AG53" s="0" t="n">
        <v>1</v>
      </c>
      <c r="AH53" s="0">
        <f>AD53+AE53+AF53+AG53</f>
        <v/>
      </c>
      <c r="AI53" s="0">
        <f>Q53+R53+S53+T53</f>
        <v/>
      </c>
      <c r="AJ53" s="0" t="n">
        <v>2</v>
      </c>
      <c r="AL53" s="0">
        <f>AJ53+U53+V53+W53+X53</f>
        <v/>
      </c>
      <c r="AM53" s="0" t="n">
        <v>3.29</v>
      </c>
      <c r="AN53" s="0" t="n">
        <v>8.640000000000001</v>
      </c>
      <c r="AO53" s="0" t="n">
        <v>0</v>
      </c>
      <c r="AP53" s="0" t="n">
        <v>0</v>
      </c>
      <c r="AS53" s="0">
        <f>L53+M53</f>
        <v/>
      </c>
      <c r="AT53" s="0" t="n">
        <v>3</v>
      </c>
      <c r="AU53" s="0" t="n">
        <v>2</v>
      </c>
      <c r="AV53" s="0" t="n">
        <v>2</v>
      </c>
      <c r="AW53" s="0">
        <f>MIN(10,AT53+AU53+AV53)</f>
        <v/>
      </c>
      <c r="AX53" s="0" t="n">
        <v>2</v>
      </c>
      <c r="AY53" s="0" t="n">
        <v>1.5</v>
      </c>
      <c r="AZ53" s="0" t="n">
        <v>0.585714285714286</v>
      </c>
      <c r="BA53" s="0" t="n">
        <v>0.5</v>
      </c>
      <c r="BB53" s="0">
        <f>ROUND((AX53/2*0.4+AY53/1.5*0.3+AZ53/1*0.2+BA53/0.5*0.1)*100,2)</f>
        <v/>
      </c>
      <c r="BC53" s="0">
        <f>ROUND(AC53+AH53+AI53+AL53+AQ53+AS53+AW53+(BB53/100*5),2)</f>
        <v/>
      </c>
      <c r="BD53" s="0">
        <f>IF(BC53&lt;=20,"极弱",IF(BC53&lt;=40,"偏弱",IF(BC53&lt;=60,"中等",IF(BC53&lt;=80,"较强","卓越"))))</f>
        <v/>
      </c>
      <c r="BH53" s="0" t="inlineStr">
        <is>
          <t>抖音/快手</t>
        </is>
      </c>
    </row>
    <row r="54">
      <c r="A54" s="0" t="n">
        <v>52</v>
      </c>
      <c r="B54" s="0" t="inlineStr">
        <is>
          <t>系统嫌我太窝囊，直接激活了</t>
        </is>
      </c>
      <c r="C54" s="0" t="inlineStr">
        <is>
          <t>/Users/mr.hu/Desktop/爆款排名/11.3日剧本/新建文件夹/系统嫌我太窝囊，直接激活了.docx</t>
        </is>
      </c>
      <c r="E54" s="0" t="n">
        <v>18.02</v>
      </c>
      <c r="F54" s="0" t="n">
        <v>15</v>
      </c>
      <c r="G54" s="0">
        <f>IF(E54&lt;=8,"15–20集",IF(E54&lt;=20,"20–30集","30–40集"))</f>
        <v/>
      </c>
      <c r="H54" s="0" t="inlineStr">
        <is>
          <t>男频</t>
        </is>
      </c>
      <c r="I54" s="0" t="inlineStr">
        <is>
          <t>现代</t>
        </is>
      </c>
      <c r="J54" s="0" t="inlineStr">
        <is>
          <t>职场/商战</t>
        </is>
      </c>
      <c r="K54" s="0" t="inlineStr">
        <is>
          <t>写实都市</t>
        </is>
      </c>
      <c r="L54" s="0" t="n">
        <v>6</v>
      </c>
      <c r="M54" s="0" t="n">
        <v>5</v>
      </c>
      <c r="N54" s="0" t="inlineStr">
        <is>
          <t>男性/下沉/18–35</t>
        </is>
      </c>
      <c r="O54" s="0" t="inlineStr">
        <is>
          <t>周末黄金</t>
        </is>
      </c>
      <c r="P54" s="0" t="inlineStr">
        <is>
          <t>反转爽点</t>
        </is>
      </c>
      <c r="Q54" s="0" t="n">
        <v>3</v>
      </c>
      <c r="R54" s="0" t="n">
        <v>3</v>
      </c>
      <c r="S54" s="0" t="n">
        <v>1</v>
      </c>
      <c r="T54" s="0" t="n">
        <v>1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4</v>
      </c>
      <c r="AA54" s="0" t="n">
        <v>2</v>
      </c>
      <c r="AB54" s="0" t="n">
        <v>2</v>
      </c>
      <c r="AC54" s="0">
        <f>Y54+Z54+AA54+AB54</f>
        <v/>
      </c>
      <c r="AD54" s="0" t="n">
        <v>5</v>
      </c>
      <c r="AE54" s="0" t="n">
        <v>2</v>
      </c>
      <c r="AF54" s="0" t="n">
        <v>3</v>
      </c>
      <c r="AG54" s="0" t="n">
        <v>1</v>
      </c>
      <c r="AH54" s="0">
        <f>AD54+AE54+AF54+AG54</f>
        <v/>
      </c>
      <c r="AI54" s="0">
        <f>Q54+R54+S54+T54</f>
        <v/>
      </c>
      <c r="AJ54" s="0" t="n">
        <v>3</v>
      </c>
      <c r="AL54" s="0">
        <f>AJ54+U54+V54+W54+X54</f>
        <v/>
      </c>
      <c r="AM54" s="0" t="n">
        <v>2.22</v>
      </c>
      <c r="AN54" s="0" t="n">
        <v>0</v>
      </c>
      <c r="AO54" s="0" t="n">
        <v>0</v>
      </c>
      <c r="AP54" s="0" t="n">
        <v>0</v>
      </c>
      <c r="AS54" s="0">
        <f>L54+M54</f>
        <v/>
      </c>
      <c r="AT54" s="0" t="n">
        <v>3</v>
      </c>
      <c r="AU54" s="0" t="n">
        <v>2</v>
      </c>
      <c r="AV54" s="0" t="n">
        <v>2</v>
      </c>
      <c r="AW54" s="0">
        <f>MIN(10,AT54+AU54+AV54)</f>
        <v/>
      </c>
      <c r="AX54" s="0" t="n">
        <v>2</v>
      </c>
      <c r="AY54" s="0" t="n">
        <v>0.85</v>
      </c>
      <c r="AZ54" s="0" t="n">
        <v>0.735714285714286</v>
      </c>
      <c r="BA54" s="0" t="n">
        <v>0.5</v>
      </c>
      <c r="BB54" s="0">
        <f>ROUND((AX54/2*0.4+AY54/1.5*0.3+AZ54/1*0.2+BA54/0.5*0.1)*100,2)</f>
        <v/>
      </c>
      <c r="BC54" s="0">
        <f>ROUND(AC54+AH54+AI54+AL54+AQ54+AS54+AW54+(BB54/100*5),2)</f>
        <v/>
      </c>
      <c r="BD54" s="0">
        <f>IF(BC54&lt;=20,"极弱",IF(BC54&lt;=40,"偏弱",IF(BC54&lt;=60,"中等",IF(BC54&lt;=80,"较强","卓越"))))</f>
        <v/>
      </c>
      <c r="BH54" s="0" t="inlineStr">
        <is>
          <t>视频号/快手</t>
        </is>
      </c>
    </row>
    <row r="55">
      <c r="A55" s="0" t="n">
        <v>53</v>
      </c>
      <c r="B55" s="0" t="inlineStr">
        <is>
          <t>诬告我无证行医，我靠系统复仇</t>
        </is>
      </c>
      <c r="C55" s="0" t="inlineStr">
        <is>
          <t>/Users/mr.hu/Desktop/爆款排名/11.3日剧本/新建文件夹/诬告我无证行医，我靠系统复仇.docx</t>
        </is>
      </c>
      <c r="E55" s="0" t="n">
        <v>23.91</v>
      </c>
      <c r="F55" s="0" t="n">
        <v>19</v>
      </c>
      <c r="G55" s="0">
        <f>IF(E55&lt;=8,"15–20集",IF(E55&lt;=20,"20–30集","30–40集"))</f>
        <v/>
      </c>
      <c r="H55" s="0" t="inlineStr">
        <is>
          <t>男频</t>
        </is>
      </c>
      <c r="I55" s="0" t="inlineStr">
        <is>
          <t>现代</t>
        </is>
      </c>
      <c r="J55" s="0" t="inlineStr">
        <is>
          <t>职场/商战</t>
        </is>
      </c>
      <c r="K55" s="0" t="inlineStr">
        <is>
          <t>写实都市</t>
        </is>
      </c>
      <c r="L55" s="0" t="n">
        <v>7</v>
      </c>
      <c r="M55" s="0" t="n">
        <v>7</v>
      </c>
      <c r="N55" s="0" t="inlineStr">
        <is>
          <t>男性/下沉/18–35</t>
        </is>
      </c>
      <c r="O55" s="0" t="inlineStr">
        <is>
          <t>周末黄金</t>
        </is>
      </c>
      <c r="P55" s="0" t="inlineStr">
        <is>
          <t>反转爽点</t>
        </is>
      </c>
      <c r="Q55" s="0" t="n">
        <v>3</v>
      </c>
      <c r="R55" s="0" t="n">
        <v>3</v>
      </c>
      <c r="S55" s="0" t="n">
        <v>3</v>
      </c>
      <c r="T55" s="0" t="n">
        <v>1</v>
      </c>
      <c r="U55" s="0" t="n">
        <v>1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4</v>
      </c>
      <c r="AA55" s="0" t="n">
        <v>2</v>
      </c>
      <c r="AB55" s="0" t="n">
        <v>1</v>
      </c>
      <c r="AC55" s="0">
        <f>Y55+Z55+AA55+AB55</f>
        <v/>
      </c>
      <c r="AD55" s="0" t="n">
        <v>2</v>
      </c>
      <c r="AE55" s="0" t="n">
        <v>2</v>
      </c>
      <c r="AF55" s="0" t="n">
        <v>2</v>
      </c>
      <c r="AG55" s="0" t="n">
        <v>1</v>
      </c>
      <c r="AH55" s="0">
        <f>AD55+AE55+AF55+AG55</f>
        <v/>
      </c>
      <c r="AI55" s="0">
        <f>Q55+R55+S55+T55</f>
        <v/>
      </c>
      <c r="AJ55" s="0" t="n">
        <v>3</v>
      </c>
      <c r="AL55" s="0">
        <f>AJ55+U55+V55+W55+X55</f>
        <v/>
      </c>
      <c r="AM55" s="0" t="n">
        <v>0</v>
      </c>
      <c r="AN55" s="0" t="n">
        <v>0</v>
      </c>
      <c r="AO55" s="0" t="n">
        <v>25</v>
      </c>
      <c r="AP55" s="0" t="n">
        <v>0</v>
      </c>
      <c r="AS55" s="0">
        <f>L55+M55</f>
        <v/>
      </c>
      <c r="AT55" s="0" t="n">
        <v>3</v>
      </c>
      <c r="AU55" s="0" t="n">
        <v>2</v>
      </c>
      <c r="AV55" s="0" t="n">
        <v>2</v>
      </c>
      <c r="AW55" s="0">
        <f>MIN(10,AT55+AU55+AV55)</f>
        <v/>
      </c>
      <c r="AX55" s="0" t="n">
        <v>2</v>
      </c>
      <c r="AY55" s="0" t="n">
        <v>0.95</v>
      </c>
      <c r="AZ55" s="0" t="n">
        <v>0.925</v>
      </c>
      <c r="BA55" s="0" t="n">
        <v>0.5</v>
      </c>
      <c r="BB55" s="0">
        <f>ROUND((AX55/2*0.4+AY55/1.5*0.3+AZ55/1*0.2+BA55/0.5*0.1)*100,2)</f>
        <v/>
      </c>
      <c r="BC55" s="0">
        <f>ROUND(AC55+AH55+AI55+AL55+AQ55+AS55+AW55+(BB55/100*5),2)</f>
        <v/>
      </c>
      <c r="BD55" s="0">
        <f>IF(BC55&lt;=20,"极弱",IF(BC55&lt;=40,"偏弱",IF(BC55&lt;=60,"中等",IF(BC55&lt;=80,"较强","卓越"))))</f>
        <v/>
      </c>
      <c r="BH55" s="0" t="inlineStr">
        <is>
          <t>视频号/快手</t>
        </is>
      </c>
    </row>
    <row r="56">
      <c r="A56" s="0" t="n">
        <v>54</v>
      </c>
      <c r="B56" s="0" t="inlineStr">
        <is>
          <t>重生八七之痞子村厨</t>
        </is>
      </c>
      <c r="C56" s="0" t="inlineStr">
        <is>
          <t>/Users/mr.hu/Desktop/爆款排名/11.3日剧本/新建文件夹/重生八七之痞子村厨.docx</t>
        </is>
      </c>
      <c r="E56" s="0" t="n">
        <v>25.81</v>
      </c>
      <c r="F56" s="0" t="n">
        <v>21</v>
      </c>
      <c r="G56" s="0">
        <f>IF(E56&lt;=8,"15–20集",IF(E56&lt;=20,"20–30集","30–40集"))</f>
        <v/>
      </c>
      <c r="H56" s="0" t="inlineStr">
        <is>
          <t>男频</t>
        </is>
      </c>
      <c r="I56" s="0" t="inlineStr">
        <is>
          <t>现代</t>
        </is>
      </c>
      <c r="J56" s="0" t="inlineStr">
        <is>
          <t>职场/商战</t>
        </is>
      </c>
      <c r="K56" s="0" t="inlineStr">
        <is>
          <t>写实都市</t>
        </is>
      </c>
      <c r="L56" s="0" t="n">
        <v>5</v>
      </c>
      <c r="M56" s="0" t="n">
        <v>7</v>
      </c>
      <c r="N56" s="0" t="inlineStr">
        <is>
          <t>男性/下沉/45+</t>
        </is>
      </c>
      <c r="O56" s="0" t="inlineStr">
        <is>
          <t>周末黄金</t>
        </is>
      </c>
      <c r="P56" s="0" t="inlineStr">
        <is>
          <t>反转爽点</t>
        </is>
      </c>
      <c r="Q56" s="0" t="n">
        <v>3</v>
      </c>
      <c r="R56" s="0" t="n">
        <v>3</v>
      </c>
      <c r="S56" s="0" t="n">
        <v>1</v>
      </c>
      <c r="T56" s="0" t="n">
        <v>1</v>
      </c>
      <c r="U56" s="0" t="n">
        <v>1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4</v>
      </c>
      <c r="AA56" s="0" t="n">
        <v>2</v>
      </c>
      <c r="AB56" s="0" t="n">
        <v>2</v>
      </c>
      <c r="AC56" s="0">
        <f>Y56+Z56+AA56+AB56</f>
        <v/>
      </c>
      <c r="AD56" s="0" t="n">
        <v>5</v>
      </c>
      <c r="AE56" s="0" t="n">
        <v>3</v>
      </c>
      <c r="AF56" s="0" t="n">
        <v>2</v>
      </c>
      <c r="AG56" s="0" t="n">
        <v>1</v>
      </c>
      <c r="AH56" s="0">
        <f>AD56+AE56+AF56+AG56</f>
        <v/>
      </c>
      <c r="AI56" s="0">
        <f>Q56+R56+S56+T56</f>
        <v/>
      </c>
      <c r="AJ56" s="0" t="n">
        <v>3</v>
      </c>
      <c r="AL56" s="0">
        <f>AJ56+U56+V56+W56+X56</f>
        <v/>
      </c>
      <c r="AM56" s="0" t="n">
        <v>0.78</v>
      </c>
      <c r="AN56" s="0" t="n">
        <v>1.16</v>
      </c>
      <c r="AO56" s="0" t="n">
        <v>0</v>
      </c>
      <c r="AP56" s="0" t="n">
        <v>0</v>
      </c>
      <c r="AS56" s="0">
        <f>L56+M56</f>
        <v/>
      </c>
      <c r="AT56" s="0" t="n">
        <v>3</v>
      </c>
      <c r="AU56" s="0" t="n">
        <v>2</v>
      </c>
      <c r="AV56" s="0" t="n">
        <v>2</v>
      </c>
      <c r="AW56" s="0">
        <f>MIN(10,AT56+AU56+AV56)</f>
        <v/>
      </c>
      <c r="AX56" s="0" t="n">
        <v>2</v>
      </c>
      <c r="AY56" s="0" t="n">
        <v>1</v>
      </c>
      <c r="AZ56" s="0" t="n">
        <v>0.775</v>
      </c>
      <c r="BA56" s="0" t="n">
        <v>0.5</v>
      </c>
      <c r="BB56" s="0">
        <f>ROUND((AX56/2*0.4+AY56/1.5*0.3+AZ56/1*0.2+BA56/0.5*0.1)*100,2)</f>
        <v/>
      </c>
      <c r="BC56" s="0">
        <f>ROUND(AC56+AH56+AI56+AL56+AQ56+AS56+AW56+(BB56/100*5),2)</f>
        <v/>
      </c>
      <c r="BD56" s="0">
        <f>IF(BC56&lt;=20,"极弱",IF(BC56&lt;=40,"偏弱",IF(BC56&lt;=60,"中等",IF(BC56&lt;=80,"较强","卓越"))))</f>
        <v/>
      </c>
      <c r="BH56" s="0" t="inlineStr">
        <is>
          <t>视频号/快手</t>
        </is>
      </c>
    </row>
    <row r="57">
      <c r="A57" s="0" t="n">
        <v>55</v>
      </c>
      <c r="B57" s="0" t="inlineStr">
        <is>
          <t>金融之王1999</t>
        </is>
      </c>
      <c r="C57" s="0" t="inlineStr">
        <is>
          <t>/Users/mr.hu/Desktop/爆款排名/11.3日剧本/新建文件夹/金融之王1999.docx</t>
        </is>
      </c>
      <c r="E57" s="0" t="n">
        <v>26.56</v>
      </c>
      <c r="F57" s="0" t="n">
        <v>22</v>
      </c>
      <c r="G57" s="0">
        <f>IF(E57&lt;=8,"15–20集",IF(E57&lt;=20,"20–30集","30–40集"))</f>
        <v/>
      </c>
      <c r="H57" s="0" t="inlineStr">
        <is>
          <t>男频</t>
        </is>
      </c>
      <c r="I57" s="0" t="inlineStr">
        <is>
          <t>科幻/奇幻</t>
        </is>
      </c>
      <c r="J57" s="0" t="inlineStr">
        <is>
          <t>职场/商战</t>
        </is>
      </c>
      <c r="K57" s="0" t="inlineStr">
        <is>
          <t>写实都市</t>
        </is>
      </c>
      <c r="L57" s="0" t="n">
        <v>5</v>
      </c>
      <c r="M57" s="0" t="n">
        <v>7</v>
      </c>
      <c r="N57" s="0" t="inlineStr">
        <is>
          <t>男性/一二线/45+</t>
        </is>
      </c>
      <c r="O57" s="0" t="inlineStr">
        <is>
          <t>周末黄金</t>
        </is>
      </c>
      <c r="P57" s="0" t="inlineStr">
        <is>
          <t>成长救赎</t>
        </is>
      </c>
      <c r="Q57" s="0" t="n">
        <v>3</v>
      </c>
      <c r="R57" s="0" t="n">
        <v>3</v>
      </c>
      <c r="S57" s="0" t="n">
        <v>3</v>
      </c>
      <c r="T57" s="0" t="n">
        <v>1</v>
      </c>
      <c r="U57" s="0" t="n">
        <v>2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4</v>
      </c>
      <c r="AA57" s="0" t="n">
        <v>2</v>
      </c>
      <c r="AB57" s="0" t="n">
        <v>2</v>
      </c>
      <c r="AC57" s="0">
        <f>Y57+Z57+AA57+AB57</f>
        <v/>
      </c>
      <c r="AD57" s="0" t="n">
        <v>3</v>
      </c>
      <c r="AE57" s="0" t="n">
        <v>4</v>
      </c>
      <c r="AF57" s="0" t="n">
        <v>2</v>
      </c>
      <c r="AG57" s="0" t="n">
        <v>0</v>
      </c>
      <c r="AH57" s="0">
        <f>AD57+AE57+AF57+AG57</f>
        <v/>
      </c>
      <c r="AI57" s="0">
        <f>Q57+R57+S57+T57</f>
        <v/>
      </c>
      <c r="AJ57" s="0" t="n">
        <v>3</v>
      </c>
      <c r="AL57" s="0">
        <f>AJ57+U57+V57+W57+X57</f>
        <v/>
      </c>
      <c r="AM57" s="0" t="n">
        <v>3.01</v>
      </c>
      <c r="AN57" s="0" t="n">
        <v>3.39</v>
      </c>
      <c r="AO57" s="0" t="n">
        <v>50</v>
      </c>
      <c r="AP57" s="0" t="n">
        <v>24</v>
      </c>
      <c r="AS57" s="0">
        <f>L57+M57</f>
        <v/>
      </c>
      <c r="AT57" s="0" t="n">
        <v>3</v>
      </c>
      <c r="AU57" s="0" t="n">
        <v>2</v>
      </c>
      <c r="AV57" s="0" t="n">
        <v>3</v>
      </c>
      <c r="AW57" s="0">
        <f>MIN(10,AT57+AU57+AV57)</f>
        <v/>
      </c>
      <c r="AX57" s="0" t="n">
        <v>2</v>
      </c>
      <c r="AY57" s="0" t="n">
        <v>0.95</v>
      </c>
      <c r="AZ57" s="0" t="n">
        <v>0.775</v>
      </c>
      <c r="BA57" s="0" t="n">
        <v>0</v>
      </c>
      <c r="BB57" s="0">
        <f>ROUND((AX57/2*0.4+AY57/1.5*0.3+AZ57/1*0.2+BA57/0.5*0.1)*100,2)</f>
        <v/>
      </c>
      <c r="BC57" s="0">
        <f>ROUND(AC57+AH57+AI57+AL57+AQ57+AS57+AW57+(BB57/100*5),2)</f>
        <v/>
      </c>
      <c r="BD57" s="0">
        <f>IF(BC57&lt;=20,"极弱",IF(BC57&lt;=40,"偏弱",IF(BC57&lt;=60,"中等",IF(BC57&lt;=80,"较强","卓越"))))</f>
        <v/>
      </c>
      <c r="BH57" s="0" t="inlineStr">
        <is>
          <t>抖音/快手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序号</t>
        </is>
      </c>
      <c r="B1" s="0" t="inlineStr">
        <is>
          <t>剧本名</t>
        </is>
      </c>
      <c r="C1" s="0" t="inlineStr">
        <is>
          <t>剧本URL</t>
        </is>
      </c>
      <c r="D1" s="0" t="inlineStr">
        <is>
          <t>全文（粘贴）</t>
        </is>
      </c>
      <c r="E1" s="0" t="inlineStr">
        <is>
          <t>字数（千字）</t>
        </is>
      </c>
      <c r="F1" s="0" t="inlineStr">
        <is>
          <t>页数</t>
        </is>
      </c>
      <c r="G1" s="0" t="inlineStr">
        <is>
          <t>建议集数</t>
        </is>
      </c>
      <c r="H1" s="0" t="inlineStr">
        <is>
          <t>倾向</t>
        </is>
      </c>
      <c r="I1" s="0" t="inlineStr">
        <is>
          <t>时代背景</t>
        </is>
      </c>
      <c r="J1" s="0" t="inlineStr">
        <is>
          <t>主题</t>
        </is>
      </c>
      <c r="K1" s="0" t="inlineStr">
        <is>
          <t>导演（风格建议）</t>
        </is>
      </c>
      <c r="L1" s="0" t="inlineStr">
        <is>
          <t>场景数量与内外景占比</t>
        </is>
      </c>
      <c r="M1" s="0" t="inlineStr">
        <is>
          <t>演员数量结构</t>
        </is>
      </c>
      <c r="N1" s="0" t="inlineStr">
        <is>
          <t>受众定位</t>
        </is>
      </c>
      <c r="O1" s="0" t="inlineStr">
        <is>
          <t>上线时间</t>
        </is>
      </c>
      <c r="P1" s="0" t="inlineStr">
        <is>
          <t>营销方向</t>
        </is>
      </c>
      <c r="Q1" s="0" t="inlineStr">
        <is>
          <t>类型覆盖</t>
        </is>
      </c>
      <c r="R1" s="0" t="inlineStr">
        <is>
          <t>升级曲线</t>
        </is>
      </c>
      <c r="S1" s="0" t="inlineStr">
        <is>
          <t>风险与代价</t>
        </is>
      </c>
      <c r="T1" s="0" t="inlineStr">
        <is>
          <t>解决策略多样性</t>
        </is>
      </c>
      <c r="U1" s="0" t="inlineStr">
        <is>
          <t>信息密度</t>
        </is>
      </c>
      <c r="V1" s="0" t="inlineStr">
        <is>
          <t>金句率与记忆点</t>
        </is>
      </c>
      <c r="W1" s="0" t="inlineStr">
        <is>
          <t>生活化/专业度</t>
        </is>
      </c>
      <c r="X1" s="0" t="inlineStr">
        <is>
          <t>价值观与合规</t>
        </is>
      </c>
      <c r="Y1" s="0" t="inlineStr">
        <is>
          <t>起承转合完整度</t>
        </is>
      </c>
      <c r="Z1" s="0" t="inlineStr">
        <is>
          <t>转折密度</t>
        </is>
      </c>
      <c r="AA1" s="0" t="inlineStr">
        <is>
          <t>悬念闭合率</t>
        </is>
      </c>
      <c r="AB1" s="0" t="inlineStr">
        <is>
          <t>节奏均衡度</t>
        </is>
      </c>
      <c r="AC1" s="0" t="inlineStr">
        <is>
          <t>剧情结构（得分）</t>
        </is>
      </c>
      <c r="AD1" s="0" t="inlineStr">
        <is>
          <t>目标-动机-障碍</t>
        </is>
      </c>
      <c r="AE1" s="0" t="inlineStr">
        <is>
          <t>弧光与反差</t>
        </is>
      </c>
      <c r="AF1" s="0" t="inlineStr">
        <is>
          <t>关系网复杂度</t>
        </is>
      </c>
      <c r="AG1" s="0" t="inlineStr">
        <is>
          <t>记忆点</t>
        </is>
      </c>
      <c r="AH1" s="0" t="inlineStr">
        <is>
          <t>角色塑造（得分）</t>
        </is>
      </c>
      <c r="AI1" s="0" t="inlineStr">
        <is>
          <t>冲突设置（得分）</t>
        </is>
      </c>
      <c r="AJ1" s="0" t="inlineStr">
        <is>
          <t>人设匹配</t>
        </is>
      </c>
      <c r="AK1" s="0" t="inlineStr">
        <is>
          <t>信息密度（副本，仅用于台词计算）</t>
        </is>
      </c>
      <c r="AL1" s="0" t="inlineStr">
        <is>
          <t>台词质量（得分）</t>
        </is>
      </c>
      <c r="AM1" s="0" t="inlineStr">
        <is>
          <t>人物饱满度｜关键词权重</t>
        </is>
      </c>
      <c r="AN1" s="0" t="inlineStr">
        <is>
          <t>人物饱满度｜连接词权重</t>
        </is>
      </c>
      <c r="AO1" s="0" t="inlineStr">
        <is>
          <t>人物饱满度｜反差词对</t>
        </is>
      </c>
      <c r="AP1" s="0" t="inlineStr">
        <is>
          <t>人物饱满度｜事件层级与弧光</t>
        </is>
      </c>
      <c r="AQ1" s="0" t="inlineStr">
        <is>
          <t>人物饱满度（得分）</t>
        </is>
      </c>
      <c r="AR1" s="0" t="inlineStr">
        <is>
          <t>人物饱满度标签</t>
        </is>
      </c>
      <c r="AS1" s="0" t="inlineStr">
        <is>
          <t>制作（得分）</t>
        </is>
      </c>
      <c r="AT1" s="0" t="inlineStr">
        <is>
          <t>宣发（受众定位分）</t>
        </is>
      </c>
      <c r="AU1" s="0" t="inlineStr">
        <is>
          <t>宣发（上线时间分）</t>
        </is>
      </c>
      <c r="AV1" s="0" t="inlineStr">
        <is>
          <t>宣发（营销方向分）</t>
        </is>
      </c>
      <c r="AW1" s="0" t="inlineStr">
        <is>
          <t>宣发（得分）</t>
        </is>
      </c>
      <c r="AX1" s="0" t="inlineStr">
        <is>
          <t>商业价值｜题材热度</t>
        </is>
      </c>
      <c r="AY1" s="0" t="inlineStr">
        <is>
          <t>商业价值｜传播因子</t>
        </is>
      </c>
      <c r="AZ1" s="0" t="inlineStr">
        <is>
          <t>商业价值｜可生产性</t>
        </is>
      </c>
      <c r="BA1" s="0" t="inlineStr">
        <is>
          <t>商业价值｜合规风险</t>
        </is>
      </c>
      <c r="BB1" s="0" t="inlineStr">
        <is>
          <t>商业价值指数</t>
        </is>
      </c>
      <c r="BC1" s="0" t="inlineStr">
        <is>
          <t>总分</t>
        </is>
      </c>
      <c r="BD1" s="0" t="inlineStr">
        <is>
          <t>评分等级</t>
        </is>
      </c>
      <c r="BE1" s="0" t="inlineStr">
        <is>
          <t>备注</t>
        </is>
      </c>
      <c r="BF1" s="0" t="inlineStr">
        <is>
          <t>评估人</t>
        </is>
      </c>
      <c r="BG1" s="0" t="inlineStr">
        <is>
          <t>评估日期</t>
        </is>
      </c>
      <c r="BH1" s="0" t="inlineStr">
        <is>
          <t>平台推荐</t>
        </is>
      </c>
      <c r="BI1" s="0" t="inlineStr">
        <is>
          <t>版本号</t>
        </is>
      </c>
    </row>
    <row r="2">
      <c r="A2" s="0" t="n">
        <v>1</v>
      </c>
      <c r="B2" s="0" t="inlineStr">
        <is>
          <t>demo</t>
        </is>
      </c>
      <c r="C2" s="0" t="inlineStr">
        <is>
          <t>samples/demo.txt</t>
        </is>
      </c>
      <c r="D2" s="0" t="inlineStr">
        <is>
          <t>标题：重生逆袭之都市奇谋
简介：看似普通的青年在一次意外后重生。表面软弱，内心坚定，然而面对家庭与事业的双重压力，他在成长与救赎之间挣扎。结果每到关键节点都出现反转，但每一次都付出台词中明确的代价（名誉、事业、金钱）。
故事线：
引子——冲突爆发——关键反转——高潮——结局。
一方面是人-人的权谋博弈，另一方面是人-自我的自我修复与救赎。
看似一帆风顺，实则处处陷阱；表面正义的反派内心自利，最终黑化又洗白，完成救赎。
记忆点：主角口头禅“稳住，我们能赢”；反派独特行为“微笑时捏指关节”。
台词：信息密度较高，避免空喊口号，术语与常识准确。</t>
        </is>
      </c>
      <c r="E2" s="0" t="n">
        <v>0.28</v>
      </c>
      <c r="F2" s="0" t="n">
        <v>0</v>
      </c>
      <c r="G2" s="0">
        <f>IF(E2&lt;=8,"15–20集",IF(E2&lt;=20,"20–30集","30–40集"))</f>
        <v/>
      </c>
      <c r="H2" s="0" t="inlineStr">
        <is>
          <t>男频</t>
        </is>
      </c>
      <c r="I2" s="0" t="inlineStr">
        <is>
          <t>现代</t>
        </is>
      </c>
      <c r="J2" s="0" t="inlineStr">
        <is>
          <t>家庭/婚恋</t>
        </is>
      </c>
      <c r="K2" s="0" t="inlineStr">
        <is>
          <t>商业爽剧</t>
        </is>
      </c>
      <c r="L2" s="0" t="n">
        <v>4</v>
      </c>
      <c r="M2" s="0" t="n">
        <v>5</v>
      </c>
      <c r="N2" s="0" t="inlineStr">
        <is>
          <t>男性/一二线/45+</t>
        </is>
      </c>
      <c r="O2" s="0" t="inlineStr">
        <is>
          <t>节假日前后</t>
        </is>
      </c>
      <c r="P2" s="0" t="inlineStr">
        <is>
          <t>反转爽点</t>
        </is>
      </c>
      <c r="Q2" s="0" t="n">
        <v>3</v>
      </c>
      <c r="R2" s="0" t="n">
        <v>0</v>
      </c>
      <c r="S2" s="0" t="n">
        <v>3</v>
      </c>
      <c r="T2" s="0" t="n">
        <v>0</v>
      </c>
      <c r="U2" s="0" t="n">
        <v>1</v>
      </c>
      <c r="V2" s="0" t="n">
        <v>2</v>
      </c>
      <c r="W2" s="0" t="n">
        <v>0</v>
      </c>
      <c r="X2" s="0" t="n">
        <v>1</v>
      </c>
      <c r="Y2" s="0" t="n">
        <v>6</v>
      </c>
      <c r="Z2" s="0" t="n">
        <v>4</v>
      </c>
      <c r="AA2" s="0" t="n">
        <v>0</v>
      </c>
      <c r="AB2" s="0" t="n">
        <v>2</v>
      </c>
      <c r="AC2" s="0">
        <f>Y2+Z2+AA2+AB2</f>
        <v/>
      </c>
      <c r="AD2" s="0" t="n">
        <v>1</v>
      </c>
      <c r="AE2" s="0" t="n">
        <v>6</v>
      </c>
      <c r="AF2" s="0" t="n">
        <v>1</v>
      </c>
      <c r="AG2" s="0" t="n">
        <v>1</v>
      </c>
      <c r="AH2" s="0">
        <f>AD2+AE2+AF2+AG2</f>
        <v/>
      </c>
      <c r="AI2" s="0">
        <f>Q2+R2+S2+T2</f>
        <v/>
      </c>
      <c r="AJ2" s="0" t="n">
        <v>2</v>
      </c>
      <c r="AL2" s="0">
        <f>AJ2+U2+V2+W2+X2</f>
        <v/>
      </c>
      <c r="AM2" s="0" t="n">
        <v>100</v>
      </c>
      <c r="AN2" s="0" t="n">
        <v>100</v>
      </c>
      <c r="AO2" s="0" t="n">
        <v>0</v>
      </c>
      <c r="AP2" s="0" t="n">
        <v>72</v>
      </c>
      <c r="AQ2" s="0">
        <f>ROUND((MIN(AM2,10)/10*8)+(MIN(AN2,10)/10*6)+(MIN(AO2,10)/10*4)+(MIN(AP2,10)/10*2),2)</f>
        <v/>
      </c>
      <c r="AS2" s="0">
        <f>L2+M2</f>
        <v/>
      </c>
      <c r="AT2" s="0" t="n">
        <v>3</v>
      </c>
      <c r="AU2" s="0" t="n">
        <v>2</v>
      </c>
      <c r="AV2" s="0" t="n">
        <v>3</v>
      </c>
      <c r="AW2" s="0">
        <f>N2+O2+P2</f>
        <v/>
      </c>
      <c r="AX2" s="0" t="n">
        <v>2</v>
      </c>
      <c r="AY2" s="0" t="n">
        <v>0.6</v>
      </c>
      <c r="AZ2" s="0" t="n">
        <v>0.5857142857142857</v>
      </c>
      <c r="BA2" s="0" t="n">
        <v>0.5</v>
      </c>
      <c r="BB2" s="0">
        <f>ROUND((AX2/2*0.4 + AY2/1.5*0.3 + AZ2/1*0.2 + BA2/0.5*0.1)*100,2)</f>
        <v/>
      </c>
      <c r="BC2" s="0">
        <f>ROUND(AC2+AH2+AI2+AL2+AQ2+AS2+AW2+(BB2/100*5),2)</f>
        <v/>
      </c>
      <c r="BD2" s="0">
        <f>IF(BC2&lt;=20,"极弱",IF(BC2&lt;=40,"偏弱",IF(BC2&lt;=60,"中等",IF(BC2&lt;=80,"较强","卓越"))))</f>
        <v/>
      </c>
      <c r="BH2" s="0" t="inlineStr">
        <is>
          <t>抖音/快手</t>
        </is>
      </c>
    </row>
    <row r="3">
      <c r="A3" t="n">
        <v>2</v>
      </c>
      <c r="B3" t="inlineStr">
        <is>
          <t>1762248432355_demo</t>
        </is>
      </c>
      <c r="C3" t="inlineStr">
        <is>
          <t>/Users/mr.hu/Desktop/爆款排名/uploads/1/1762248432355_demo.txt</t>
        </is>
      </c>
      <c r="D3" t="inlineStr">
        <is>
          <t xml:space="preserve">标题：城市逆袭之光
时代：现代
主题：职场/成长/救赎
人物：男主看似平凡，实则内心坚韧；一方面温柔，另一方面在关键时刻果断。
结构：引子→冲突爆发→反转→高潮→结局；但是/然而等连接词贯穿，反转、成长与救赎元素明确。
台词：信息点密集，口吻一致，少口号，专业术语准确。
</t>
        </is>
      </c>
      <c r="E3" t="n">
        <v>0.14</v>
      </c>
      <c r="F3" t="n">
        <v>0</v>
      </c>
      <c r="G3">
        <f>IF(E3&lt;=8,"15–20集",IF(E3&lt;=20,"20–30集","30–40集"))</f>
        <v/>
      </c>
      <c r="H3" t="inlineStr">
        <is>
          <t>男频</t>
        </is>
      </c>
      <c r="I3" t="inlineStr">
        <is>
          <t>现代</t>
        </is>
      </c>
      <c r="J3" t="inlineStr">
        <is>
          <t>都市/综合</t>
        </is>
      </c>
      <c r="K3" t="inlineStr">
        <is>
          <t>写实都市</t>
        </is>
      </c>
      <c r="L3" t="n">
        <v>4</v>
      </c>
      <c r="M3" t="n">
        <v>5</v>
      </c>
      <c r="N3" t="inlineStr">
        <is>
          <t>男性/一二线/18–35</t>
        </is>
      </c>
      <c r="O3" t="inlineStr">
        <is>
          <t>节假日前后</t>
        </is>
      </c>
      <c r="P3" t="inlineStr">
        <is>
          <t>反转爽点</t>
        </is>
      </c>
      <c r="Q3" t="n">
        <v>3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6</v>
      </c>
      <c r="Z3" t="n">
        <v>4</v>
      </c>
      <c r="AA3" t="n">
        <v>0</v>
      </c>
      <c r="AB3" t="n">
        <v>2</v>
      </c>
      <c r="AC3">
        <f>Y3+Z3+AA3+AB3</f>
        <v/>
      </c>
      <c r="AD3" t="n">
        <v>1</v>
      </c>
      <c r="AE3" t="n">
        <v>6</v>
      </c>
      <c r="AF3" t="n">
        <v>1</v>
      </c>
      <c r="AG3" t="n">
        <v>0</v>
      </c>
      <c r="AH3">
        <f>AD3+AE3+AF3+AG3</f>
        <v/>
      </c>
      <c r="AI3">
        <f>Q3+R3+S3+T3</f>
        <v/>
      </c>
      <c r="AJ3" t="n">
        <v>2</v>
      </c>
      <c r="AK3">
        <f>U3</f>
        <v/>
      </c>
      <c r="AL3">
        <f>AJ3+U3+V3+W3+X3</f>
        <v/>
      </c>
      <c r="AM3" t="n">
        <v>100</v>
      </c>
      <c r="AN3" t="n">
        <v>100</v>
      </c>
      <c r="AO3" t="n">
        <v>0</v>
      </c>
      <c r="AP3" t="n">
        <v>48</v>
      </c>
      <c r="AQ3">
        <f>ROUND((MIN(AM3,10)/10*8)+(MIN(AN3,10)/10*6)+(MIN(AO3,10)/10*4)+(MIN(AP3,10)/10*2),2)</f>
        <v/>
      </c>
      <c r="AR3">
        <f>IF(AQ3&gt;=67,"高",IF(AQ3&gt;=34,"中","低"))</f>
        <v/>
      </c>
      <c r="AS3">
        <f>MIN(15,L3+M3)</f>
        <v/>
      </c>
      <c r="AT3" t="n">
        <v>3</v>
      </c>
      <c r="AU3" t="n">
        <v>2</v>
      </c>
      <c r="AV3" t="n">
        <v>3</v>
      </c>
      <c r="AW3">
        <f>MIN(10,AT3+AU3+AV3)</f>
        <v/>
      </c>
      <c r="AX3" t="n">
        <v>2</v>
      </c>
      <c r="AY3" t="n">
        <v>0.5</v>
      </c>
      <c r="AZ3" t="n">
        <v>0.5857142857142857</v>
      </c>
      <c r="BA3" t="n">
        <v>0.5</v>
      </c>
      <c r="BB3">
        <f>ROUND((AX3/2*0.4 + AY3/1.5*0.3 + AZ3/1*0.2 + BA3/0.5*0.1)*100,2)</f>
        <v/>
      </c>
      <c r="BC3">
        <f>ROUND(AC3+AH3+AI3+AL3+AQ3+AS3+AW3+(BB3/100*5),2)</f>
        <v/>
      </c>
      <c r="BD3">
        <f>IF(BC3&lt;=20,"极弱",IF(BC3&lt;=40,"偏弱",IF(BC3&lt;=60,"中等",IF(BC3&lt;=80,"较强","卓越"))))</f>
        <v/>
      </c>
      <c r="BH3" t="inlineStr">
        <is>
          <t>抖音/快手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2025-11-04T13:51:00Z</dcterms:created>
  <dcterms:modified xmlns:dcterms="http://purl.org/dc/terms/" xmlns:xsi="http://www.w3.org/2001/XMLSchema-instance" xsi:type="dcterms:W3CDTF">2025-11-04T09:27:12Z</dcterms:modified>
  <cp:lastModifiedBy>Frederic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57339FBAD2E609C4FEBB08696790E231_43</vt:lpwstr>
  </property>
  <property name="KSOProductBuildVer" fmtid="{D5CDD505-2E9C-101B-9397-08002B2CF9AE}" pid="3">
    <vt:lpwstr xmlns:vt="http://schemas.openxmlformats.org/officeDocument/2006/docPropsVTypes">2052-12.1.23540.23540</vt:lpwstr>
  </property>
</Properties>
</file>